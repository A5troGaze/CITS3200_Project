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0" documentId="8_{1939788B-F4A3-40DF-87F4-D4C22FBA181A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G30" i="1" s="1"/>
  <c r="I99" i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1" i="1"/>
  <c r="I32" i="1"/>
  <c r="I33" i="1"/>
  <c r="G33" i="1" s="1"/>
  <c r="H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34" i="1" l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l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<sst xmlns="http://schemas.openxmlformats.org/spreadsheetml/2006/main" count="77" uniqueCount="32">
  <si>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</si>
  <si>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</si>
  <si>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</si>
  <si>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</si>
  <si>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</si>
  <si>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</si>
  <si>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</si>
  <si>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</si>
  <si>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</si>
  <si>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</si>
  <si>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</si>
  <si>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</si>
  <si>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</si>
  <si>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</si>
  <si>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</si>
  <si>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</si>
  <si>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</si>
  <si>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</si>
  <si>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</si>
  <si>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</si>
  <si>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</si>
  <si>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</si>
  <si>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</si>
  <si>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</si>
  <si>
    <t>Reviewed the multi-person leader-tracking implementation and developed a combined prototype with leader-only MediaPipe 3D world-landmark export</t>
  </si>
  <si>
    <t>Developed the CycloneDDS mujoco integration for Person ID , including pose retargeting, simulation control and testing scripts</t>
  </si>
  <si>
    <t>Reviewed and added explanatory code comments</t>
  </si>
  <si>
    <t>Writing up team meeting and mentor meeting agenda</t>
  </si>
  <si>
    <t>Researched "mimic" issue and developed a prototype for Pinocchio- based IK retargeting and pushed for testing</t>
  </si>
  <si>
    <t>Reviewed and finalised minutes from the Mentor and Auditor meetings</t>
  </si>
  <si>
    <t xml:space="preserve">Organised weekly project documentation and updated weekly timesheet </t>
  </si>
  <si>
    <t>Weekly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</si>
</sst>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8" zoomScale="125" zoomScaleNormal="100" workbookViewId="0">
      <selection activeCell="E46" sqref="E46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149999999999999" customHeight="1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15" customHeight="1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A24" s="1">
        <v>7</v>
      </c>
      <c r="B24" s="4">
        <v>44806</v>
      </c>
      <c r="C24" s="5">
        <v>0.41666666666666669</v>
      </c>
      <c r="D24" s="4">
        <v>44806</v>
      </c>
      <c r="E24" s="5">
        <v>0.47916666666666669</v>
      </c>
      <c r="F24" s="1" t="s">
        <v>24</v>
      </c>
      <c r="G24" s="6">
        <f t="shared" si="0"/>
        <v>1.5</v>
      </c>
      <c r="H24" s="1">
        <f t="shared" si="2"/>
        <v>20.499999999592546</v>
      </c>
      <c r="I24" s="1">
        <f t="shared" si="1"/>
        <v>1.5</v>
      </c>
    </row>
    <row r="25" spans="1:9" ht="12.75">
      <c r="A25" s="1">
        <v>7</v>
      </c>
      <c r="B25" s="4">
        <v>44812</v>
      </c>
      <c r="C25" s="5">
        <v>0.45833333333333331</v>
      </c>
      <c r="D25" s="4">
        <v>44812</v>
      </c>
      <c r="E25" s="5">
        <v>0.5</v>
      </c>
      <c r="F25" s="1" t="s">
        <v>9</v>
      </c>
      <c r="G25" s="6">
        <f t="shared" si="0"/>
        <v>0.99999999994179234</v>
      </c>
      <c r="H25" s="1">
        <f t="shared" si="2"/>
        <v>21.499999999534339</v>
      </c>
      <c r="I25" s="1">
        <f t="shared" si="1"/>
        <v>0.99999999994179234</v>
      </c>
    </row>
    <row r="26" spans="1:9">
      <c r="A26" s="1">
        <v>8</v>
      </c>
      <c r="B26" s="4">
        <v>44817</v>
      </c>
      <c r="C26" s="5">
        <v>0.5</v>
      </c>
      <c r="D26" s="4">
        <v>44817</v>
      </c>
      <c r="E26" s="5">
        <v>0.5625</v>
      </c>
      <c r="F26" s="1" t="s">
        <v>25</v>
      </c>
      <c r="G26" s="6">
        <f t="shared" si="0"/>
        <v>1.5</v>
      </c>
      <c r="H26" s="1">
        <f t="shared" si="2"/>
        <v>22.999999999534339</v>
      </c>
      <c r="I26" s="1">
        <f t="shared" si="1"/>
        <v>1.5</v>
      </c>
    </row>
    <row r="27" spans="1:9">
      <c r="A27" s="1">
        <v>8</v>
      </c>
      <c r="B27" s="4">
        <v>44817</v>
      </c>
      <c r="C27" s="5">
        <v>0.63541666666666663</v>
      </c>
      <c r="D27" s="4">
        <v>44817</v>
      </c>
      <c r="E27" s="5">
        <v>0.65625</v>
      </c>
      <c r="F27" s="1" t="s">
        <v>26</v>
      </c>
      <c r="G27" s="6">
        <f t="shared" si="0"/>
        <v>0.50000000005820766</v>
      </c>
      <c r="H27" s="1">
        <f t="shared" si="2"/>
        <v>23.499999999592546</v>
      </c>
      <c r="I27" s="1">
        <f t="shared" si="1"/>
        <v>0.50000000005820766</v>
      </c>
    </row>
    <row r="28" spans="1:9">
      <c r="A28" s="1">
        <v>8</v>
      </c>
      <c r="B28" s="4">
        <v>44819</v>
      </c>
      <c r="C28" s="5">
        <v>0.45833333333333331</v>
      </c>
      <c r="D28" s="4">
        <v>44819</v>
      </c>
      <c r="E28" s="5">
        <v>0.5</v>
      </c>
      <c r="F28" s="1" t="s">
        <v>9</v>
      </c>
      <c r="G28" s="6">
        <f t="shared" si="0"/>
        <v>0.99999999994179234</v>
      </c>
      <c r="H28" s="1">
        <f t="shared" si="2"/>
        <v>24.499999999534339</v>
      </c>
      <c r="I28" s="1">
        <f t="shared" si="1"/>
        <v>0.99999999994179234</v>
      </c>
    </row>
    <row r="29" spans="1:9" ht="15" customHeight="1">
      <c r="A29" s="7">
        <v>8</v>
      </c>
      <c r="B29" s="4">
        <v>44819</v>
      </c>
      <c r="C29" s="5">
        <v>0.54166666666666663</v>
      </c>
      <c r="D29" s="4">
        <v>44819</v>
      </c>
      <c r="E29" s="5">
        <v>0.57291666666666663</v>
      </c>
      <c r="F29" s="1" t="s">
        <v>12</v>
      </c>
      <c r="G29" s="6">
        <f t="shared" si="0"/>
        <v>0.75</v>
      </c>
      <c r="H29" s="1">
        <f t="shared" si="2"/>
        <v>25.249999999534339</v>
      </c>
      <c r="I29" s="1">
        <f t="shared" si="1"/>
        <v>0.75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>
      <c r="A33" s="1">
        <v>9</v>
      </c>
      <c r="B33" s="4">
        <v>44825</v>
      </c>
      <c r="C33" s="5">
        <v>0.51041666666666663</v>
      </c>
      <c r="D33" s="4">
        <v>44825</v>
      </c>
      <c r="E33" s="5">
        <v>0.53125</v>
      </c>
      <c r="F33" s="1" t="s">
        <v>27</v>
      </c>
      <c r="G33" s="6">
        <f t="shared" ref="G33:G64" si="3">IF(I33&gt;0,I33,IF(I33=0, " ", "ERROR"))</f>
        <v>0.50000000005820766</v>
      </c>
      <c r="H33" s="1">
        <f>25.25+G33</f>
        <v>25.750000000058208</v>
      </c>
      <c r="I33" s="1">
        <f t="shared" si="1"/>
        <v>0.50000000005820766</v>
      </c>
    </row>
    <row r="34" spans="1:9">
      <c r="A34" s="1">
        <v>9</v>
      </c>
      <c r="B34" s="4">
        <v>44825</v>
      </c>
      <c r="C34" s="5">
        <v>0.90277777777777779</v>
      </c>
      <c r="D34" s="4">
        <v>44825</v>
      </c>
      <c r="E34" s="5">
        <v>0.98611111111111116</v>
      </c>
      <c r="F34" s="1" t="s">
        <v>28</v>
      </c>
      <c r="G34" s="6">
        <f t="shared" si="3"/>
        <v>1.9999999998835847</v>
      </c>
      <c r="H34" s="1">
        <f>H33+G34</f>
        <v>27.749999999941792</v>
      </c>
      <c r="I34" s="1">
        <f t="shared" si="1"/>
        <v>1.9999999998835847</v>
      </c>
    </row>
    <row r="35" spans="1:9" ht="12.75">
      <c r="A35" s="7">
        <v>9</v>
      </c>
      <c r="B35" s="4">
        <v>44826</v>
      </c>
      <c r="C35" s="5">
        <v>0.45833333333333331</v>
      </c>
      <c r="D35" s="4">
        <v>44826</v>
      </c>
      <c r="E35" s="5">
        <v>0.5</v>
      </c>
      <c r="F35" s="1" t="s">
        <v>9</v>
      </c>
      <c r="G35" s="6">
        <f t="shared" si="3"/>
        <v>0.99999999994179234</v>
      </c>
      <c r="H35" s="1">
        <f t="shared" ref="H34:H64" si="4">IF(AND(G35&lt;&gt;" ",G35&lt;&gt;"ERROR",H34&lt;&gt;" ", H34&lt;&gt;"ERROR"),G35+H34," ")</f>
        <v>28.749999999883585</v>
      </c>
      <c r="I35" s="1">
        <f t="shared" si="1"/>
        <v>0.99999999994179234</v>
      </c>
    </row>
    <row r="36" spans="1:9">
      <c r="A36" s="1">
        <v>9</v>
      </c>
      <c r="B36" s="4">
        <v>44826</v>
      </c>
      <c r="C36" s="5">
        <v>0.54166666666666663</v>
      </c>
      <c r="D36" s="4">
        <v>44826</v>
      </c>
      <c r="E36" s="5">
        <v>0.5625</v>
      </c>
      <c r="F36" s="1" t="s">
        <v>12</v>
      </c>
      <c r="G36" s="6">
        <f t="shared" si="3"/>
        <v>0.50000000005820766</v>
      </c>
      <c r="H36" s="1">
        <f t="shared" si="4"/>
        <v>29.249999999941792</v>
      </c>
      <c r="I36" s="1">
        <f t="shared" si="1"/>
        <v>0.50000000005820766</v>
      </c>
    </row>
    <row r="37" spans="1:9">
      <c r="A37" s="1">
        <v>9</v>
      </c>
      <c r="B37" s="4">
        <v>44828</v>
      </c>
      <c r="C37" s="5">
        <v>0.375</v>
      </c>
      <c r="D37" s="4">
        <v>44828</v>
      </c>
      <c r="E37" s="5">
        <v>0.40625</v>
      </c>
      <c r="F37" s="1" t="s">
        <v>23</v>
      </c>
      <c r="G37" s="6">
        <f t="shared" si="3"/>
        <v>0.75</v>
      </c>
      <c r="H37" s="1">
        <f t="shared" si="4"/>
        <v>29.999999999941792</v>
      </c>
      <c r="I37" s="1">
        <f t="shared" si="1"/>
        <v>0.75</v>
      </c>
    </row>
    <row r="38" spans="1:9">
      <c r="A38" s="1">
        <v>9</v>
      </c>
      <c r="B38" s="4">
        <v>44828</v>
      </c>
      <c r="C38" s="5">
        <v>0.45833333333333331</v>
      </c>
      <c r="D38" s="4">
        <v>44828</v>
      </c>
      <c r="E38" s="5">
        <v>0.48958333333333331</v>
      </c>
      <c r="F38" s="1" t="s">
        <v>22</v>
      </c>
      <c r="G38" s="6">
        <f t="shared" si="3"/>
        <v>0.75</v>
      </c>
      <c r="H38" s="1">
        <f t="shared" si="4"/>
        <v>30.749999999941792</v>
      </c>
      <c r="I38" s="1">
        <f t="shared" si="1"/>
        <v>0.75</v>
      </c>
    </row>
    <row r="39" spans="1:9">
      <c r="A39" s="1">
        <v>9</v>
      </c>
      <c r="B39" s="4">
        <v>44828</v>
      </c>
      <c r="C39" s="5">
        <v>0.60416666666666663</v>
      </c>
      <c r="D39" s="4">
        <v>44828</v>
      </c>
      <c r="E39" s="5">
        <v>0.64583333333333337</v>
      </c>
      <c r="F39" s="1" t="s">
        <v>29</v>
      </c>
      <c r="G39" s="6">
        <f t="shared" si="3"/>
        <v>1.0000000001164153</v>
      </c>
      <c r="H39" s="1">
        <f t="shared" si="4"/>
        <v>31.750000000058208</v>
      </c>
      <c r="I39" s="1">
        <f t="shared" si="1"/>
        <v>1.0000000001164153</v>
      </c>
    </row>
    <row r="40" spans="1:9">
      <c r="A40" s="1">
        <v>9</v>
      </c>
      <c r="B40" s="4">
        <v>44830</v>
      </c>
      <c r="C40" s="5">
        <v>0.40277777777777779</v>
      </c>
      <c r="D40" s="4">
        <v>44830</v>
      </c>
      <c r="E40" s="5">
        <v>0.45833333333333331</v>
      </c>
      <c r="F40" s="1" t="s">
        <v>30</v>
      </c>
      <c r="G40" s="6">
        <f t="shared" si="3"/>
        <v>1.3333333333139308</v>
      </c>
      <c r="H40" s="1">
        <f t="shared" si="4"/>
        <v>33.083333333372138</v>
      </c>
      <c r="I40" s="1">
        <f t="shared" si="1"/>
        <v>1.3333333333139308</v>
      </c>
    </row>
    <row r="41" spans="1:9">
      <c r="A41" s="1">
        <v>10</v>
      </c>
      <c r="B41" s="4">
        <v>44833</v>
      </c>
      <c r="C41" s="5">
        <v>0.45833333333333331</v>
      </c>
      <c r="D41" s="4">
        <v>44833</v>
      </c>
      <c r="E41" s="5">
        <v>0.5</v>
      </c>
      <c r="F41" s="1" t="s">
        <v>9</v>
      </c>
      <c r="G41" s="6">
        <f t="shared" si="3"/>
        <v>0.99999999994179234</v>
      </c>
      <c r="H41" s="1">
        <f t="shared" si="4"/>
        <v>34.083333333313931</v>
      </c>
      <c r="I41" s="1">
        <f t="shared" si="1"/>
        <v>0.99999999994179234</v>
      </c>
    </row>
    <row r="42" spans="1:9" ht="12.75">
      <c r="A42" s="1">
        <v>10</v>
      </c>
      <c r="B42" s="4">
        <v>44837</v>
      </c>
      <c r="C42" s="5">
        <v>0.40277777777777779</v>
      </c>
      <c r="D42" s="4">
        <v>44837</v>
      </c>
      <c r="E42" s="5">
        <v>0.4236111111111111</v>
      </c>
      <c r="F42" s="1" t="s">
        <v>31</v>
      </c>
      <c r="G42" s="6">
        <f t="shared" si="3"/>
        <v>0.49999999988358468</v>
      </c>
      <c r="H42" s="1">
        <f t="shared" si="4"/>
        <v>34.583333333197515</v>
      </c>
      <c r="I42" s="1">
        <f t="shared" si="1"/>
        <v>0.49999999988358468</v>
      </c>
    </row>
    <row r="43" spans="1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1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1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1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1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1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7"/>
        <v>#VALUE!</v>
      </c>
    </row>
    <row r="100" spans="1:9" ht="1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2026-10-04T02:12:21Z</dcterms:modified>
  <cp:category/>
  <cp:contentStatus/>
</cp:coreProperties>
</file>