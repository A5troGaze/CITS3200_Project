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ITS3200\Template\"/>
    </mc:Choice>
  </mc:AlternateContent>
  <bookViews>
    <workbookView windowWidth="24000" windowHeight="11055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<sst xmlns="http://schemas.openxmlformats.org/spreadsheetml/2006/main" count="76" uniqueCount="35">
  <si>
    <r>
      <rPr>
        <b/>
        <sz val="12"/>
        <rFont val="Lucida Sans"/>
        <charset val="134"/>
      </rPr>
      <t>CITS3200 Project Billed Hours Record for Zhichong Zhang(Terry)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</si>
  <si>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</si>
  <si>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</si>
  <si>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</si>
  <si>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</si>
  <si>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</si>
  <si>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</si>
  <si>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</si>
  <si>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</si>
  <si>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team meeting</t>
  </si>
  <si>
    <t>Read project documentation and understand project requirement</t>
  </si>
  <si>
    <t>Understand overall project workflow and system architecture</t>
  </si>
  <si>
    <t>Research Ubuntu 22 installation and project development environment</t>
  </si>
  <si>
    <t>Review Sprint 1 requirements and work on project stories</t>
  </si>
  <si>
    <t>Attend weekly team meeting and discuss sprint 1 deliverables</t>
  </si>
  <si>
    <t>Review sprint 1 progess and gesture reconition requirements</t>
  </si>
  <si>
    <t>Research MediaPipe for hand gesture reconition</t>
  </si>
  <si>
    <t>Review gesture reconition approach and implementation plan</t>
  </si>
  <si>
    <t>Set up and run the gesture recognition code in the local development environment</t>
  </si>
  <si>
    <t>Attend weekly team meeting and discuss project progress</t>
  </si>
  <si>
    <t>Conduct formal testing for predefined gestures and document testing results</t>
  </si>
  <si>
    <t>Attend the client meeting</t>
  </si>
  <si>
    <t>Attend auditor meeting</t>
  </si>
  <si>
    <t>Attend the mentor meeting</t>
  </si>
  <si>
    <t>Modify react_to_gusture to support MP4</t>
  </si>
  <si>
    <t>Run and debug react_to_gestures.py with MuJoCo simulation</t>
  </si>
  <si>
    <t>Conduct and document functional testing of simulation responses to recognized gestures</t>
  </si>
  <si>
    <t>Conduct updated MP4 gesture reaction testing in MuJoCo</t>
  </si>
  <si>
    <t>Document and review updated gesture reaction testing results</t>
  </si>
  <si>
    <t>Review Project branches and prepare for merging</t>
  </si>
  <si>
    <t>Merge project branches in the required order, and Check the integrated project after merging</t>
  </si>
  <si>
    <t>Integrate GamepadBridge into SimController and update gesture_control.py</t>
  </si>
  <si>
    <t>Update the setup guide and push changes to Gesture-Branch-Cleanup</t>
  </si>
  <si>
    <t>Review project branches and begin the integration process</t>
  </si>
  <si>
    <t>Merging Project branches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</si>
</sst>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yy"/>
  </numFmts>
  <fonts count="23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Font="1" applyFill="1" applyBorder="1"/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Font="1"/>
    <xf numFmtId="0" fontId="1" fillId="0" borderId="1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130" zoomScaleNormal="130" topLeftCell="A18" workbookViewId="0">
      <selection activeCell="F40" sqref="F40"/>
    </sheetView>
  </sheetViews>
  <sheetFormatPr defaultColWidth="10.6640625" defaultRowHeight="12.35"/>
  <cols>
    <col min="1" max="1" width="5.8359375" customWidth="1"/>
    <col min="2" max="2" width="8.3359375" customWidth="1"/>
    <col min="3" max="3" width="8.1640625" customWidth="1"/>
    <col min="4" max="4" width="9.3359375" customWidth="1"/>
    <col min="5" max="5" width="8.8359375" customWidth="1"/>
    <col min="6" max="6" width="46.5" customWidth="1"/>
    <col min="7" max="7" width="9.3359375" customWidth="1"/>
    <col min="9" max="9" width="10.6640625" hidden="1" customWidth="1"/>
  </cols>
  <sheetData>
    <row r="1" ht="71" customHeight="1" spans="1:9">
      <c r="A1" s="1" t="s">
        <v>0</v>
      </c>
      <c r="B1" s="2"/>
      <c r="C1" s="2"/>
      <c r="D1" s="2"/>
      <c r="E1" s="2"/>
      <c r="F1" s="2"/>
      <c r="G1" s="2"/>
      <c r="H1" s="3"/>
    </row>
    <row r="2" ht="16" customHeight="1" spans="1:9">
      <c r="A2" s="4" t="s">
        <v>1</v>
      </c>
      <c r="B2" s="5" t="s">
        <v>2</v>
      </c>
      <c r="C2" s="6"/>
      <c r="D2" s="5" t="s">
        <v>3</v>
      </c>
      <c r="E2" s="6"/>
      <c r="F2" s="7" t="s">
        <v>4</v>
      </c>
      <c r="G2" s="4" t="s">
        <v>5</v>
      </c>
      <c r="H2" s="8" t="s">
        <v>6</v>
      </c>
    </row>
    <row r="3" ht="13" customHeight="1" spans="1:9">
      <c r="A3" s="9"/>
      <c r="B3" s="10" t="s">
        <v>7</v>
      </c>
      <c r="C3" s="11" t="s">
        <v>8</v>
      </c>
      <c r="D3" s="10" t="s">
        <v>7</v>
      </c>
      <c r="E3" s="11" t="s">
        <v>8</v>
      </c>
      <c r="F3" s="12"/>
      <c r="G3" s="9"/>
      <c r="H3" s="13"/>
    </row>
    <row r="4" spans="1:9">
      <c r="A4">
        <v>2</v>
      </c>
      <c r="B4" s="14">
        <v>46232</v>
      </c>
      <c r="C4" s="15">
        <v>0.458333333333333</v>
      </c>
      <c r="D4" s="14">
        <v>46232</v>
      </c>
      <c r="E4" s="15">
        <v>0.5</v>
      </c>
      <c r="F4" t="s">
        <v>9</v>
      </c>
      <c r="G4" s="16">
        <f>IF(I4&gt;0,I4,IF(I4=0," ","ERROR"))</f>
        <v>0.999999999941792</v>
      </c>
      <c r="H4">
        <f>IF(G4&lt;&gt;"ERROR",G4)</f>
        <v>0.999999999941792</v>
      </c>
      <c r="I4">
        <f>((D4+E4)-(B4+C4))*24</f>
        <v>0.999999999941792</v>
      </c>
    </row>
    <row r="5" spans="1:9">
      <c r="A5">
        <v>2</v>
      </c>
      <c r="B5" s="14">
        <v>46233</v>
      </c>
      <c r="C5" s="15">
        <v>0.583333333333333</v>
      </c>
      <c r="D5" s="14">
        <v>46233</v>
      </c>
      <c r="E5" s="15">
        <v>0.645833333333333</v>
      </c>
      <c r="F5" t="s">
        <v>10</v>
      </c>
      <c r="G5" s="16">
        <f t="shared" ref="G5:G30" si="0">IF(I5&gt;0,I5,IF(I5=0," ","ERROR"))</f>
        <v>1.5</v>
      </c>
      <c r="H5">
        <f>IF(AND(G5&lt;&gt;" ",G5&lt;&gt;"ERROR",H4&lt;&gt;" ",H4&lt;&gt;"ERROR"),G5+H4," ")</f>
        <v>2.49999999994179</v>
      </c>
      <c r="I5">
        <f t="shared" ref="I5:I68" si="1">((D5+E5)-(B5+C5))*24</f>
        <v>1.5</v>
      </c>
    </row>
    <row r="6" spans="1:9">
      <c r="A6">
        <v>2</v>
      </c>
      <c r="B6" s="14">
        <v>46234</v>
      </c>
      <c r="C6" s="15">
        <v>0.604166666666667</v>
      </c>
      <c r="D6" s="14">
        <v>46234</v>
      </c>
      <c r="E6" s="15">
        <v>0.666666666666667</v>
      </c>
      <c r="F6" t="s">
        <v>11</v>
      </c>
      <c r="G6" s="16">
        <f t="shared" si="0"/>
        <v>1.5</v>
      </c>
      <c r="H6">
        <f t="shared" ref="H6:H30" si="2">IF(AND(G6&lt;&gt;" ",G6&lt;&gt;"ERROR",H5&lt;&gt;" ",H5&lt;&gt;"ERROR"),G6+H5," ")</f>
        <v>3.99999999994179</v>
      </c>
      <c r="I6">
        <f t="shared" si="1"/>
        <v>1.5</v>
      </c>
    </row>
    <row r="7" spans="1:9">
      <c r="A7">
        <v>3</v>
      </c>
      <c r="B7" s="14">
        <v>46239</v>
      </c>
      <c r="C7" s="15">
        <v>0.458333333333333</v>
      </c>
      <c r="D7" s="14">
        <v>46239</v>
      </c>
      <c r="E7" s="15">
        <v>0.5</v>
      </c>
      <c r="F7" t="s">
        <v>9</v>
      </c>
      <c r="G7" s="16">
        <f t="shared" si="0"/>
        <v>0.999999999941792</v>
      </c>
      <c r="H7">
        <f t="shared" si="2"/>
        <v>4.99999999988358</v>
      </c>
      <c r="I7">
        <f t="shared" si="1"/>
        <v>0.999999999941792</v>
      </c>
    </row>
    <row r="8" spans="1:9">
      <c r="A8">
        <v>3</v>
      </c>
      <c r="B8" s="14">
        <v>46240</v>
      </c>
      <c r="C8" s="15">
        <v>0.416666666666667</v>
      </c>
      <c r="D8" s="14">
        <v>46240</v>
      </c>
      <c r="E8" s="15">
        <v>0.5</v>
      </c>
      <c r="F8" t="s">
        <v>12</v>
      </c>
      <c r="G8" s="16">
        <f t="shared" si="0"/>
        <v>2.00000000005821</v>
      </c>
      <c r="H8">
        <f t="shared" si="2"/>
        <v>6.99999999994179</v>
      </c>
      <c r="I8">
        <f t="shared" si="1"/>
        <v>2.00000000005821</v>
      </c>
    </row>
    <row r="9" spans="1:9">
      <c r="A9">
        <v>3</v>
      </c>
      <c r="B9" s="14">
        <v>46241</v>
      </c>
      <c r="C9" s="15">
        <v>0.541666666666667</v>
      </c>
      <c r="D9" s="14">
        <v>46241</v>
      </c>
      <c r="E9" s="15">
        <v>0.625</v>
      </c>
      <c r="F9" t="s">
        <v>13</v>
      </c>
      <c r="G9" s="16">
        <f t="shared" si="0"/>
        <v>2.00000000005821</v>
      </c>
      <c r="H9">
        <f t="shared" si="2"/>
        <v>9</v>
      </c>
      <c r="I9">
        <f t="shared" si="1"/>
        <v>2.00000000005821</v>
      </c>
    </row>
    <row r="10" spans="1:9">
      <c r="A10">
        <v>4</v>
      </c>
      <c r="B10" s="14">
        <v>46246</v>
      </c>
      <c r="C10" s="15">
        <v>0.458333333333333</v>
      </c>
      <c r="D10" s="14">
        <v>46246</v>
      </c>
      <c r="E10" s="15">
        <v>0.5</v>
      </c>
      <c r="F10" t="s">
        <v>14</v>
      </c>
      <c r="G10" s="16">
        <f t="shared" si="0"/>
        <v>0.999999999941792</v>
      </c>
      <c r="H10">
        <f t="shared" si="2"/>
        <v>9.99999999994179</v>
      </c>
      <c r="I10">
        <f t="shared" si="1"/>
        <v>0.999999999941792</v>
      </c>
    </row>
    <row r="11" spans="1:9">
      <c r="A11">
        <v>4</v>
      </c>
      <c r="B11" s="14">
        <v>46246</v>
      </c>
      <c r="C11" s="15">
        <v>0.625</v>
      </c>
      <c r="D11" s="14">
        <v>46246</v>
      </c>
      <c r="E11" s="15">
        <v>0.666666666666667</v>
      </c>
      <c r="F11" t="s">
        <v>15</v>
      </c>
      <c r="G11" s="16">
        <f t="shared" si="0"/>
        <v>0.999999999941792</v>
      </c>
      <c r="H11">
        <f t="shared" si="2"/>
        <v>10.9999999998836</v>
      </c>
      <c r="I11">
        <f t="shared" si="1"/>
        <v>0.999999999941792</v>
      </c>
    </row>
    <row r="12" spans="1:9">
      <c r="A12">
        <v>4</v>
      </c>
      <c r="B12" s="14">
        <v>46249</v>
      </c>
      <c r="C12" s="15">
        <v>0.416666666666667</v>
      </c>
      <c r="D12" s="14">
        <v>46249</v>
      </c>
      <c r="E12" s="15">
        <v>0.479166666666667</v>
      </c>
      <c r="F12" t="s">
        <v>16</v>
      </c>
      <c r="G12" s="16">
        <f t="shared" si="0"/>
        <v>1.5</v>
      </c>
      <c r="H12">
        <f t="shared" si="2"/>
        <v>12.4999999998836</v>
      </c>
      <c r="I12">
        <f t="shared" si="1"/>
        <v>1.5</v>
      </c>
    </row>
    <row r="13" spans="1:9">
      <c r="A13">
        <v>4</v>
      </c>
      <c r="B13" s="14">
        <v>46250</v>
      </c>
      <c r="C13" s="15">
        <v>0.666666666666667</v>
      </c>
      <c r="D13" s="14">
        <v>46250</v>
      </c>
      <c r="E13" s="15">
        <v>0.708333333333333</v>
      </c>
      <c r="F13" t="s">
        <v>17</v>
      </c>
      <c r="G13" s="16">
        <f t="shared" si="0"/>
        <v>1.00000000011642</v>
      </c>
      <c r="H13">
        <f t="shared" si="2"/>
        <v>13.5</v>
      </c>
      <c r="I13">
        <f t="shared" si="1"/>
        <v>1.00000000011642</v>
      </c>
    </row>
    <row r="14" spans="1:9">
      <c r="A14">
        <v>5</v>
      </c>
      <c r="B14" s="14">
        <v>46252</v>
      </c>
      <c r="C14" s="15">
        <v>0.583333333333333</v>
      </c>
      <c r="D14" s="14">
        <v>46252</v>
      </c>
      <c r="E14" s="15">
        <v>0.666666666666667</v>
      </c>
      <c r="F14" t="s">
        <v>18</v>
      </c>
      <c r="G14" s="16">
        <f t="shared" si="0"/>
        <v>1.99999999988358</v>
      </c>
      <c r="H14">
        <f t="shared" si="2"/>
        <v>15.4999999998836</v>
      </c>
      <c r="I14">
        <f t="shared" si="1"/>
        <v>1.99999999988358</v>
      </c>
    </row>
    <row r="15" spans="1:9">
      <c r="A15">
        <v>5</v>
      </c>
      <c r="B15" s="14">
        <v>46253</v>
      </c>
      <c r="C15" s="15">
        <v>0.458333333333333</v>
      </c>
      <c r="D15" s="14">
        <v>46253</v>
      </c>
      <c r="E15" s="15">
        <v>0.5</v>
      </c>
      <c r="F15" t="s">
        <v>19</v>
      </c>
      <c r="G15" s="16">
        <f t="shared" si="0"/>
        <v>0.999999999941792</v>
      </c>
      <c r="H15">
        <f t="shared" si="2"/>
        <v>16.4999999998254</v>
      </c>
      <c r="I15">
        <f t="shared" si="1"/>
        <v>0.999999999941792</v>
      </c>
    </row>
    <row r="16" spans="1:9">
      <c r="A16">
        <v>5</v>
      </c>
      <c r="B16" s="14">
        <v>46254</v>
      </c>
      <c r="C16" s="15">
        <v>0.875</v>
      </c>
      <c r="D16" s="14">
        <v>46254</v>
      </c>
      <c r="E16" s="15">
        <v>0.958333333333333</v>
      </c>
      <c r="F16" t="s">
        <v>20</v>
      </c>
      <c r="G16" s="16">
        <f t="shared" si="0"/>
        <v>2.00000000005821</v>
      </c>
      <c r="H16">
        <f t="shared" si="2"/>
        <v>18.4999999998836</v>
      </c>
      <c r="I16">
        <f t="shared" si="1"/>
        <v>2.00000000005821</v>
      </c>
    </row>
    <row r="17" spans="1:9">
      <c r="A17">
        <v>5</v>
      </c>
      <c r="B17" s="14">
        <v>46253</v>
      </c>
      <c r="C17" s="15">
        <v>0.541666666666667</v>
      </c>
      <c r="D17" s="14">
        <v>46253</v>
      </c>
      <c r="E17" s="15">
        <v>0.569444444444444</v>
      </c>
      <c r="F17" t="s">
        <v>21</v>
      </c>
      <c r="G17" s="16">
        <f t="shared" si="0"/>
        <v>0.666666666744277</v>
      </c>
      <c r="H17">
        <f t="shared" si="2"/>
        <v>19.1666666666279</v>
      </c>
      <c r="I17">
        <f t="shared" si="1"/>
        <v>0.666666666744277</v>
      </c>
    </row>
    <row r="18" spans="1:9">
      <c r="A18">
        <v>6</v>
      </c>
      <c r="B18" s="14">
        <v>46260</v>
      </c>
      <c r="C18" s="15">
        <v>0.458333333333333</v>
      </c>
      <c r="D18" s="14">
        <v>46260</v>
      </c>
      <c r="E18" s="15">
        <v>0.5</v>
      </c>
      <c r="F18" t="s">
        <v>9</v>
      </c>
      <c r="G18" s="16">
        <f t="shared" si="0"/>
        <v>0.999999999941792</v>
      </c>
      <c r="H18">
        <f t="shared" si="2"/>
        <v>20.1666666665697</v>
      </c>
      <c r="I18">
        <f t="shared" si="1"/>
        <v>0.999999999941792</v>
      </c>
    </row>
    <row r="19" spans="1:9">
      <c r="A19">
        <v>6</v>
      </c>
      <c r="B19" s="14">
        <v>46260</v>
      </c>
      <c r="C19" s="15">
        <v>0.5</v>
      </c>
      <c r="D19" s="14">
        <v>46260</v>
      </c>
      <c r="E19" s="15">
        <v>0.541666666666667</v>
      </c>
      <c r="F19" t="s">
        <v>22</v>
      </c>
      <c r="G19" s="16">
        <f t="shared" si="0"/>
        <v>0.999999999941792</v>
      </c>
      <c r="H19">
        <f t="shared" si="2"/>
        <v>21.1666666665114</v>
      </c>
      <c r="I19">
        <f t="shared" si="1"/>
        <v>0.999999999941792</v>
      </c>
    </row>
    <row r="20" spans="1:9">
      <c r="A20">
        <v>6</v>
      </c>
      <c r="B20" s="17">
        <v>46262</v>
      </c>
      <c r="C20" s="15">
        <v>0.625</v>
      </c>
      <c r="D20" s="14">
        <v>46262</v>
      </c>
      <c r="E20" s="15">
        <v>0.6875</v>
      </c>
      <c r="F20" t="s">
        <v>23</v>
      </c>
      <c r="G20" s="16">
        <f t="shared" si="0"/>
        <v>1.5</v>
      </c>
      <c r="H20">
        <f t="shared" si="2"/>
        <v>22.6666666665114</v>
      </c>
      <c r="I20">
        <f t="shared" si="1"/>
        <v>1.5</v>
      </c>
    </row>
    <row r="21" spans="1:9">
      <c r="A21">
        <v>7</v>
      </c>
      <c r="B21" s="14">
        <v>46272</v>
      </c>
      <c r="C21" s="15">
        <v>0.541666666666667</v>
      </c>
      <c r="D21" s="14">
        <v>46272</v>
      </c>
      <c r="E21" s="15">
        <v>0.625</v>
      </c>
      <c r="F21" t="s">
        <v>24</v>
      </c>
      <c r="G21" s="16">
        <f t="shared" si="0"/>
        <v>2.00000000005821</v>
      </c>
      <c r="H21">
        <f t="shared" si="2"/>
        <v>24.6666666665697</v>
      </c>
      <c r="I21">
        <f t="shared" si="1"/>
        <v>2.00000000005821</v>
      </c>
    </row>
    <row r="22" spans="1:9">
      <c r="A22">
        <v>7</v>
      </c>
      <c r="B22" s="14">
        <v>46274</v>
      </c>
      <c r="C22" s="15">
        <v>0.458333333333333</v>
      </c>
      <c r="D22" s="14">
        <v>46274</v>
      </c>
      <c r="E22" s="15">
        <v>0.5</v>
      </c>
      <c r="F22" t="s">
        <v>9</v>
      </c>
      <c r="G22" s="16">
        <f t="shared" si="0"/>
        <v>0.999999999941792</v>
      </c>
      <c r="H22">
        <f t="shared" si="2"/>
        <v>25.6666666665114</v>
      </c>
      <c r="I22">
        <f t="shared" si="1"/>
        <v>0.999999999941792</v>
      </c>
    </row>
    <row r="23" spans="1:9">
      <c r="A23">
        <v>7</v>
      </c>
      <c r="B23" s="14">
        <v>46275</v>
      </c>
      <c r="C23" s="15">
        <v>0.5</v>
      </c>
      <c r="D23" s="14">
        <v>46275</v>
      </c>
      <c r="E23" s="15">
        <v>0.541666666666667</v>
      </c>
      <c r="F23" t="s">
        <v>25</v>
      </c>
      <c r="G23" s="16">
        <f t="shared" si="0"/>
        <v>0.999999999941792</v>
      </c>
      <c r="H23">
        <f t="shared" si="2"/>
        <v>26.6666666664532</v>
      </c>
      <c r="I23">
        <f t="shared" si="1"/>
        <v>0.999999999941792</v>
      </c>
    </row>
    <row r="24" spans="1:9">
      <c r="A24">
        <v>7</v>
      </c>
      <c r="B24" s="14">
        <v>46275</v>
      </c>
      <c r="C24" s="15">
        <v>0.791666666666667</v>
      </c>
      <c r="D24" s="14">
        <v>46275</v>
      </c>
      <c r="E24" s="15">
        <v>0.895833333333333</v>
      </c>
      <c r="F24" t="s">
        <v>26</v>
      </c>
      <c r="G24" s="16">
        <f t="shared" si="0"/>
        <v>2.50000000011642</v>
      </c>
      <c r="H24">
        <f t="shared" si="2"/>
        <v>29.1666666665697</v>
      </c>
      <c r="I24">
        <f t="shared" si="1"/>
        <v>2.50000000011642</v>
      </c>
    </row>
    <row r="25" spans="1:9">
      <c r="A25">
        <v>8</v>
      </c>
      <c r="B25" s="18">
        <v>46279</v>
      </c>
      <c r="C25" s="15">
        <v>0.625</v>
      </c>
      <c r="D25" s="18">
        <v>46279</v>
      </c>
      <c r="E25" s="15">
        <v>0.708333333333333</v>
      </c>
      <c r="F25" t="s">
        <v>27</v>
      </c>
      <c r="G25" s="16">
        <f t="shared" si="0"/>
        <v>2.00000000005821</v>
      </c>
      <c r="H25">
        <f t="shared" si="2"/>
        <v>31.1666666666279</v>
      </c>
      <c r="I25">
        <f t="shared" si="1"/>
        <v>2.00000000005821</v>
      </c>
    </row>
    <row r="26" spans="1:9">
      <c r="A26">
        <v>8</v>
      </c>
      <c r="B26" s="18">
        <v>46279</v>
      </c>
      <c r="C26" s="19">
        <v>0.708333333333333</v>
      </c>
      <c r="D26" s="18">
        <v>46279</v>
      </c>
      <c r="E26" s="15">
        <v>0.743055555555556</v>
      </c>
      <c r="F26" t="s">
        <v>28</v>
      </c>
      <c r="G26" s="16">
        <f t="shared" si="0"/>
        <v>0.833333333255723</v>
      </c>
      <c r="H26">
        <f t="shared" si="2"/>
        <v>31.9999999998836</v>
      </c>
      <c r="I26">
        <f t="shared" si="1"/>
        <v>0.833333333255723</v>
      </c>
    </row>
    <row r="27" spans="1:9">
      <c r="A27">
        <v>8</v>
      </c>
      <c r="B27" s="18">
        <v>46281</v>
      </c>
      <c r="C27" s="15">
        <v>0.458333333333333</v>
      </c>
      <c r="D27" s="18">
        <v>46281</v>
      </c>
      <c r="E27" s="15">
        <v>0.5</v>
      </c>
      <c r="F27" t="s">
        <v>19</v>
      </c>
      <c r="G27" s="16">
        <f t="shared" si="0"/>
        <v>0.999999999941792</v>
      </c>
      <c r="H27">
        <f t="shared" si="2"/>
        <v>32.9999999998254</v>
      </c>
      <c r="I27">
        <f t="shared" si="1"/>
        <v>0.999999999941792</v>
      </c>
    </row>
    <row r="28" spans="1:9">
      <c r="A28">
        <v>8</v>
      </c>
      <c r="B28" s="18">
        <v>46281</v>
      </c>
      <c r="C28" s="15">
        <v>0.541666666666667</v>
      </c>
      <c r="D28" s="18">
        <v>46281</v>
      </c>
      <c r="E28" s="15">
        <v>0.572916666666667</v>
      </c>
      <c r="F28" s="20" t="s">
        <v>21</v>
      </c>
      <c r="G28" s="16">
        <f t="shared" si="0"/>
        <v>0.75</v>
      </c>
      <c r="H28">
        <f t="shared" si="2"/>
        <v>33.7499999998254</v>
      </c>
      <c r="I28">
        <f t="shared" si="1"/>
        <v>0.75</v>
      </c>
    </row>
    <row r="29" spans="1:9">
      <c r="A29">
        <v>9</v>
      </c>
      <c r="B29" s="18">
        <v>46288</v>
      </c>
      <c r="C29" s="15">
        <v>0.541666666666667</v>
      </c>
      <c r="D29" s="18">
        <v>46288</v>
      </c>
      <c r="E29" s="15">
        <v>0.569444444444444</v>
      </c>
      <c r="F29" t="s">
        <v>21</v>
      </c>
      <c r="G29" s="16">
        <f t="shared" si="0"/>
        <v>0.666666666744277</v>
      </c>
      <c r="H29">
        <f t="shared" si="2"/>
        <v>34.4166666665697</v>
      </c>
      <c r="I29">
        <f t="shared" si="1"/>
        <v>0.666666666744277</v>
      </c>
    </row>
    <row r="30" spans="1:9">
      <c r="A30">
        <v>9</v>
      </c>
      <c r="B30" s="18">
        <v>46289</v>
      </c>
      <c r="C30" s="15">
        <v>0.416666666666667</v>
      </c>
      <c r="D30" s="18">
        <v>46289</v>
      </c>
      <c r="E30" s="15">
        <v>0.458333333333333</v>
      </c>
      <c r="F30" t="s">
        <v>29</v>
      </c>
      <c r="G30" s="16">
        <f t="shared" si="0"/>
        <v>1.00000000011642</v>
      </c>
      <c r="H30">
        <f t="shared" si="2"/>
        <v>35.4166666666861</v>
      </c>
      <c r="I30">
        <f t="shared" si="1"/>
        <v>1.00000000011642</v>
      </c>
    </row>
    <row r="31" ht="15" spans="1:9">
      <c r="A31" s="4" t="s">
        <v>1</v>
      </c>
      <c r="B31" s="5" t="s">
        <v>2</v>
      </c>
      <c r="C31" s="6"/>
      <c r="D31" s="5" t="s">
        <v>3</v>
      </c>
      <c r="E31" s="6"/>
      <c r="F31" s="21" t="s">
        <v>4</v>
      </c>
      <c r="G31" s="21" t="s">
        <v>5</v>
      </c>
      <c r="H31" s="21" t="s">
        <v>6</v>
      </c>
      <c r="I31" t="e">
        <f t="shared" si="1"/>
        <v>#VALUE!</v>
      </c>
    </row>
    <row r="32" ht="15" spans="1:9">
      <c r="A32" s="9"/>
      <c r="B32" s="10" t="s">
        <v>7</v>
      </c>
      <c r="C32" s="11" t="s">
        <v>8</v>
      </c>
      <c r="D32" s="10" t="s">
        <v>7</v>
      </c>
      <c r="E32" s="11" t="s">
        <v>8</v>
      </c>
      <c r="F32" s="21"/>
      <c r="G32" s="21"/>
      <c r="H32" s="21"/>
      <c r="I32" t="e">
        <f t="shared" si="1"/>
        <v>#VALUE!</v>
      </c>
    </row>
    <row r="33" ht="11" customHeight="1" spans="1:9">
      <c r="A33">
        <v>9</v>
      </c>
      <c r="B33" s="18">
        <v>46290</v>
      </c>
      <c r="C33" s="15">
        <v>0.375</v>
      </c>
      <c r="D33" s="18">
        <v>46290</v>
      </c>
      <c r="E33" s="15">
        <v>0.40625</v>
      </c>
      <c r="F33" t="s">
        <v>23</v>
      </c>
      <c r="G33" s="16">
        <f t="shared" ref="G33:G64" si="3">IF(I33&gt;0,I33,IF(I33=0," ","ERROR"))</f>
        <v>0.75</v>
      </c>
      <c r="H33">
        <f>IF(AND(G33&lt;&gt;" ",G33&lt;&gt;"ERROR",H30&lt;&gt;" ",H30&lt;&gt;"ERROR"),G33+H30," ")</f>
        <v>36.1666666666861</v>
      </c>
      <c r="I33">
        <f t="shared" si="1"/>
        <v>0.75</v>
      </c>
    </row>
    <row r="34" spans="1:9">
      <c r="A34">
        <v>9</v>
      </c>
      <c r="B34" s="18">
        <v>46290</v>
      </c>
      <c r="C34" s="15">
        <v>0.458333333333333</v>
      </c>
      <c r="D34" s="18">
        <v>46290</v>
      </c>
      <c r="E34" s="15">
        <v>0.5</v>
      </c>
      <c r="F34" t="s">
        <v>22</v>
      </c>
      <c r="G34" s="16">
        <f t="shared" si="3"/>
        <v>0.999999999941792</v>
      </c>
      <c r="H34">
        <f t="shared" ref="H34:H64" si="4">IF(AND(G34&lt;&gt;" ",G34&lt;&gt;"ERROR",H33&lt;&gt;" ",H33&lt;&gt;"ERROR"),G34+H33," ")</f>
        <v>37.1666666666279</v>
      </c>
      <c r="I34">
        <f t="shared" si="1"/>
        <v>0.999999999941792</v>
      </c>
    </row>
    <row r="35" spans="1:9">
      <c r="A35">
        <v>9</v>
      </c>
      <c r="B35" s="18">
        <v>46291</v>
      </c>
      <c r="C35" s="15">
        <v>0.416666666666667</v>
      </c>
      <c r="D35" s="18">
        <v>46291</v>
      </c>
      <c r="E35" s="15">
        <v>0.479166666666667</v>
      </c>
      <c r="F35" t="s">
        <v>30</v>
      </c>
      <c r="G35" s="16">
        <f t="shared" si="3"/>
        <v>1.5</v>
      </c>
      <c r="H35">
        <f t="shared" si="4"/>
        <v>38.6666666666279</v>
      </c>
      <c r="I35">
        <f t="shared" si="1"/>
        <v>1.5</v>
      </c>
    </row>
    <row r="36" spans="1:9">
      <c r="A36">
        <v>10</v>
      </c>
      <c r="B36" s="18">
        <v>46295</v>
      </c>
      <c r="C36" s="15">
        <v>0.458333333333333</v>
      </c>
      <c r="D36" s="18">
        <v>46295</v>
      </c>
      <c r="E36" s="15">
        <v>0.5</v>
      </c>
      <c r="F36" t="s">
        <v>9</v>
      </c>
      <c r="G36" s="16">
        <f t="shared" si="3"/>
        <v>0.999999999941792</v>
      </c>
      <c r="H36">
        <f t="shared" si="4"/>
        <v>39.6666666665697</v>
      </c>
      <c r="I36">
        <f t="shared" si="1"/>
        <v>0.999999999941792</v>
      </c>
    </row>
    <row r="37" spans="1:9">
      <c r="A37">
        <v>10</v>
      </c>
      <c r="B37" s="18">
        <v>46295</v>
      </c>
      <c r="C37" s="15">
        <v>0.583333333333333</v>
      </c>
      <c r="D37" s="18">
        <v>46295</v>
      </c>
      <c r="E37" s="15">
        <v>0.625</v>
      </c>
      <c r="F37" t="s">
        <v>31</v>
      </c>
      <c r="G37" s="16">
        <f t="shared" si="3"/>
        <v>0.999999999941792</v>
      </c>
      <c r="H37">
        <f t="shared" si="4"/>
        <v>40.6666666665114</v>
      </c>
      <c r="I37">
        <f t="shared" si="1"/>
        <v>0.999999999941792</v>
      </c>
    </row>
    <row r="38" spans="1:9">
      <c r="A38">
        <v>10</v>
      </c>
      <c r="B38" s="18">
        <v>46295</v>
      </c>
      <c r="C38" s="15">
        <v>0.625</v>
      </c>
      <c r="D38" s="18">
        <v>46295</v>
      </c>
      <c r="E38" s="15">
        <v>0.645833333333333</v>
      </c>
      <c r="F38" t="s">
        <v>32</v>
      </c>
      <c r="G38" s="16">
        <f t="shared" si="3"/>
        <v>0.500000000058208</v>
      </c>
      <c r="H38">
        <f t="shared" si="4"/>
        <v>41.1666666665697</v>
      </c>
      <c r="I38">
        <f t="shared" si="1"/>
        <v>0.500000000058208</v>
      </c>
    </row>
    <row r="39" spans="1:9">
      <c r="A39">
        <v>10</v>
      </c>
      <c r="B39" s="18">
        <v>46297</v>
      </c>
      <c r="C39" s="15">
        <v>0.416666666666667</v>
      </c>
      <c r="D39" s="18">
        <v>46297</v>
      </c>
      <c r="E39" s="15">
        <v>0.479166666666667</v>
      </c>
      <c r="F39" t="s">
        <v>33</v>
      </c>
      <c r="G39" s="16">
        <f t="shared" si="3"/>
        <v>1.5</v>
      </c>
      <c r="H39">
        <f t="shared" si="4"/>
        <v>42.6666666665697</v>
      </c>
      <c r="I39">
        <f t="shared" si="1"/>
        <v>1.5</v>
      </c>
    </row>
    <row r="40" spans="1:9">
      <c r="A40">
        <v>10</v>
      </c>
      <c r="B40" s="18">
        <v>46298</v>
      </c>
      <c r="C40" s="15">
        <v>0.770833333333333</v>
      </c>
      <c r="D40" s="18">
        <v>46298</v>
      </c>
      <c r="E40" s="15">
        <v>0.833333333333333</v>
      </c>
      <c r="F40" t="s">
        <v>34</v>
      </c>
      <c r="G40" s="16">
        <f t="shared" si="3"/>
        <v>1.5</v>
      </c>
      <c r="H40">
        <f t="shared" si="4"/>
        <v>44.1666666665697</v>
      </c>
      <c r="I40">
        <f t="shared" si="1"/>
        <v>1.5</v>
      </c>
    </row>
    <row r="41" spans="1:9">
      <c r="B41" s="18"/>
      <c r="C41" s="15"/>
      <c r="D41" s="18"/>
      <c r="E41" s="15"/>
      <c r="G41" s="16" t="str">
        <f t="shared" si="3"/>
        <v> </v>
      </c>
      <c r="H41" t="str">
        <f t="shared" si="4"/>
        <v> </v>
      </c>
      <c r="I41">
        <f t="shared" si="1"/>
        <v>0</v>
      </c>
    </row>
    <row r="42" spans="1:9">
      <c r="B42" s="18"/>
      <c r="C42" s="15"/>
      <c r="D42" s="18"/>
      <c r="E42" s="15"/>
      <c r="G42" s="16" t="str">
        <f t="shared" si="3"/>
        <v> </v>
      </c>
      <c r="H42" t="str">
        <f t="shared" si="4"/>
        <v> </v>
      </c>
      <c r="I42">
        <f t="shared" si="1"/>
        <v>0</v>
      </c>
    </row>
    <row r="43" spans="1:9">
      <c r="B43" s="18"/>
      <c r="C43" s="15"/>
      <c r="D43" s="18"/>
      <c r="E43" s="15"/>
      <c r="G43" s="16" t="str">
        <f t="shared" si="3"/>
        <v> </v>
      </c>
      <c r="H43" t="str">
        <f t="shared" si="4"/>
        <v> </v>
      </c>
      <c r="I43">
        <f t="shared" si="1"/>
        <v>0</v>
      </c>
    </row>
    <row r="44" spans="1:9">
      <c r="B44" s="18"/>
      <c r="C44" s="15"/>
      <c r="D44" s="18"/>
      <c r="E44" s="15"/>
      <c r="G44" s="16" t="str">
        <f t="shared" si="3"/>
        <v> </v>
      </c>
      <c r="H44" t="str">
        <f t="shared" si="4"/>
        <v> </v>
      </c>
      <c r="I44">
        <f t="shared" si="1"/>
        <v>0</v>
      </c>
    </row>
    <row r="45" spans="1:9">
      <c r="B45" s="18"/>
      <c r="C45" s="15"/>
      <c r="D45" s="18"/>
      <c r="E45" s="15"/>
      <c r="G45" s="16" t="str">
        <f t="shared" si="3"/>
        <v> </v>
      </c>
      <c r="H45" t="str">
        <f t="shared" si="4"/>
        <v> </v>
      </c>
      <c r="I45">
        <f t="shared" si="1"/>
        <v>0</v>
      </c>
    </row>
    <row r="46" spans="1:9">
      <c r="B46" s="18"/>
      <c r="C46" s="15"/>
      <c r="D46" s="18"/>
      <c r="E46" s="15"/>
      <c r="G46" s="16" t="str">
        <f t="shared" si="3"/>
        <v> </v>
      </c>
      <c r="H46" t="str">
        <f t="shared" si="4"/>
        <v> </v>
      </c>
      <c r="I46">
        <f t="shared" si="1"/>
        <v>0</v>
      </c>
    </row>
    <row r="47" spans="1:9">
      <c r="B47" s="18"/>
      <c r="C47" s="15"/>
      <c r="D47" s="18"/>
      <c r="E47" s="15"/>
      <c r="G47" s="16" t="str">
        <f t="shared" si="3"/>
        <v> </v>
      </c>
      <c r="H47" t="str">
        <f t="shared" si="4"/>
        <v> </v>
      </c>
      <c r="I47">
        <f t="shared" si="1"/>
        <v>0</v>
      </c>
    </row>
    <row r="48" spans="1:9">
      <c r="B48" s="18"/>
      <c r="C48" s="15"/>
      <c r="D48" s="18"/>
      <c r="E48" s="15"/>
      <c r="G48" s="16" t="str">
        <f t="shared" si="3"/>
        <v> </v>
      </c>
      <c r="H48" t="str">
        <f t="shared" si="4"/>
        <v> </v>
      </c>
      <c r="I48">
        <f t="shared" si="1"/>
        <v>0</v>
      </c>
    </row>
    <row r="49" spans="2:9">
      <c r="B49" s="18"/>
      <c r="C49" s="15"/>
      <c r="D49" s="18"/>
      <c r="E49" s="15"/>
      <c r="G49" s="16" t="str">
        <f t="shared" si="3"/>
        <v> </v>
      </c>
      <c r="H49" t="str">
        <f t="shared" si="4"/>
        <v> </v>
      </c>
      <c r="I49">
        <f t="shared" si="1"/>
        <v>0</v>
      </c>
    </row>
    <row r="50" spans="2:9">
      <c r="B50" s="18"/>
      <c r="C50" s="15"/>
      <c r="D50" s="18"/>
      <c r="E50" s="15"/>
      <c r="G50" s="16" t="str">
        <f t="shared" si="3"/>
        <v> </v>
      </c>
      <c r="H50" t="str">
        <f t="shared" si="4"/>
        <v> </v>
      </c>
      <c r="I50">
        <f t="shared" si="1"/>
        <v>0</v>
      </c>
    </row>
    <row r="51" spans="2:9">
      <c r="B51" s="18"/>
      <c r="C51" s="15"/>
      <c r="D51" s="18"/>
      <c r="E51" s="15"/>
      <c r="G51" s="16" t="str">
        <f t="shared" si="3"/>
        <v> </v>
      </c>
      <c r="H51" t="str">
        <f t="shared" si="4"/>
        <v> </v>
      </c>
      <c r="I51">
        <f t="shared" si="1"/>
        <v>0</v>
      </c>
    </row>
    <row r="52" spans="2:9">
      <c r="B52" s="18"/>
      <c r="C52" s="15"/>
      <c r="D52" s="18"/>
      <c r="E52" s="15"/>
      <c r="G52" s="16" t="str">
        <f t="shared" si="3"/>
        <v> </v>
      </c>
      <c r="H52" t="str">
        <f t="shared" si="4"/>
        <v> </v>
      </c>
      <c r="I52">
        <f t="shared" si="1"/>
        <v>0</v>
      </c>
    </row>
    <row r="53" spans="2:9">
      <c r="B53" s="18"/>
      <c r="C53" s="15"/>
      <c r="D53" s="18"/>
      <c r="E53" s="15"/>
      <c r="G53" s="16" t="str">
        <f t="shared" si="3"/>
        <v> </v>
      </c>
      <c r="H53" t="str">
        <f t="shared" si="4"/>
        <v> </v>
      </c>
      <c r="I53">
        <f t="shared" si="1"/>
        <v>0</v>
      </c>
    </row>
    <row r="54" spans="2:9">
      <c r="B54" s="18"/>
      <c r="C54" s="15"/>
      <c r="D54" s="18"/>
      <c r="E54" s="15"/>
      <c r="G54" s="16" t="str">
        <f t="shared" si="3"/>
        <v> </v>
      </c>
      <c r="H54" t="str">
        <f t="shared" si="4"/>
        <v> </v>
      </c>
      <c r="I54">
        <f t="shared" si="1"/>
        <v>0</v>
      </c>
    </row>
    <row r="55" spans="2:9">
      <c r="B55" s="18"/>
      <c r="C55" s="15"/>
      <c r="D55" s="18"/>
      <c r="E55" s="15"/>
      <c r="G55" s="16" t="str">
        <f t="shared" si="3"/>
        <v> </v>
      </c>
      <c r="H55" t="str">
        <f t="shared" si="4"/>
        <v> </v>
      </c>
      <c r="I55">
        <f t="shared" si="1"/>
        <v>0</v>
      </c>
    </row>
    <row r="56" spans="2:9">
      <c r="B56" s="18"/>
      <c r="C56" s="15"/>
      <c r="D56" s="18"/>
      <c r="E56" s="15"/>
      <c r="G56" s="16" t="str">
        <f t="shared" si="3"/>
        <v> </v>
      </c>
      <c r="H56" t="str">
        <f t="shared" si="4"/>
        <v> </v>
      </c>
      <c r="I56">
        <f t="shared" si="1"/>
        <v>0</v>
      </c>
    </row>
    <row r="57" spans="2:9">
      <c r="B57" s="18"/>
      <c r="C57" s="15"/>
      <c r="D57" s="18"/>
      <c r="E57" s="15"/>
      <c r="G57" s="16" t="str">
        <f t="shared" si="3"/>
        <v> </v>
      </c>
      <c r="H57" t="str">
        <f t="shared" si="4"/>
        <v> </v>
      </c>
      <c r="I57">
        <f t="shared" si="1"/>
        <v>0</v>
      </c>
    </row>
    <row r="58" spans="2:9">
      <c r="B58" s="18"/>
      <c r="C58" s="15"/>
      <c r="D58" s="18"/>
      <c r="E58" s="15"/>
      <c r="G58" s="16" t="str">
        <f t="shared" si="3"/>
        <v> </v>
      </c>
      <c r="H58" t="str">
        <f t="shared" si="4"/>
        <v> </v>
      </c>
      <c r="I58">
        <f t="shared" si="1"/>
        <v>0</v>
      </c>
    </row>
    <row r="59" spans="2:9">
      <c r="B59" s="18"/>
      <c r="C59" s="15"/>
      <c r="D59" s="18"/>
      <c r="E59" s="15"/>
      <c r="G59" s="16" t="str">
        <f t="shared" si="3"/>
        <v> </v>
      </c>
      <c r="H59" t="str">
        <f t="shared" si="4"/>
        <v> </v>
      </c>
      <c r="I59">
        <f t="shared" si="1"/>
        <v>0</v>
      </c>
    </row>
    <row r="60" spans="2:9">
      <c r="B60" s="18"/>
      <c r="G60" s="16" t="str">
        <f t="shared" si="3"/>
        <v> </v>
      </c>
      <c r="H60" t="str">
        <f t="shared" si="4"/>
        <v> </v>
      </c>
      <c r="I60">
        <f t="shared" si="1"/>
        <v>0</v>
      </c>
    </row>
    <row r="61" spans="2:9">
      <c r="B61" s="18"/>
      <c r="G61" s="16" t="str">
        <f t="shared" si="3"/>
        <v> </v>
      </c>
      <c r="H61" t="str">
        <f t="shared" si="4"/>
        <v> </v>
      </c>
      <c r="I61">
        <f t="shared" si="1"/>
        <v>0</v>
      </c>
    </row>
    <row r="62" spans="2:9">
      <c r="B62" s="18"/>
      <c r="G62" s="16" t="str">
        <f t="shared" si="3"/>
        <v> </v>
      </c>
      <c r="H62" t="str">
        <f t="shared" si="4"/>
        <v> </v>
      </c>
      <c r="I62">
        <f t="shared" si="1"/>
        <v>0</v>
      </c>
    </row>
    <row r="63" spans="2:9">
      <c r="B63" s="18"/>
      <c r="G63" s="16" t="str">
        <f t="shared" si="3"/>
        <v> </v>
      </c>
      <c r="H63" t="str">
        <f t="shared" si="4"/>
        <v> </v>
      </c>
      <c r="I63">
        <f t="shared" si="1"/>
        <v>0</v>
      </c>
    </row>
    <row r="64" spans="2:9">
      <c r="B64" s="18"/>
      <c r="G64" s="16" t="str">
        <f t="shared" si="3"/>
        <v> </v>
      </c>
      <c r="H64" t="str">
        <f t="shared" si="4"/>
        <v> </v>
      </c>
      <c r="I64">
        <f t="shared" si="1"/>
        <v>0</v>
      </c>
    </row>
    <row r="65" ht="15" spans="1:9">
      <c r="A65" s="4" t="s">
        <v>1</v>
      </c>
      <c r="B65" s="5" t="s">
        <v>2</v>
      </c>
      <c r="C65" s="6"/>
      <c r="D65" s="5" t="s">
        <v>3</v>
      </c>
      <c r="E65" s="6"/>
      <c r="F65" s="21" t="s">
        <v>4</v>
      </c>
      <c r="G65" s="21" t="s">
        <v>5</v>
      </c>
      <c r="H65" s="21" t="s">
        <v>6</v>
      </c>
      <c r="I65" t="e">
        <f t="shared" si="1"/>
        <v>#VALUE!</v>
      </c>
    </row>
    <row r="66" ht="15" spans="1:9">
      <c r="A66" s="9"/>
      <c r="B66" s="10" t="s">
        <v>7</v>
      </c>
      <c r="C66" s="11" t="s">
        <v>8</v>
      </c>
      <c r="D66" s="10" t="s">
        <v>7</v>
      </c>
      <c r="E66" s="11" t="s">
        <v>8</v>
      </c>
      <c r="F66" s="21"/>
      <c r="G66" s="21"/>
      <c r="H66" s="21"/>
      <c r="I66" t="e">
        <f t="shared" si="1"/>
        <v>#VALUE!</v>
      </c>
    </row>
    <row r="67" spans="1:9">
      <c r="G67" s="16" t="str">
        <f t="shared" ref="G67:G98" si="5">IF(I67&gt;0,I67,IF(I67=0," ","ERROR"))</f>
        <v> </v>
      </c>
      <c r="H67" t="str">
        <f>IF(AND(G67&lt;&gt;" ",G67&lt;&gt;"ERROR",H64&lt;&gt;" ",H64&lt;&gt;"ERROR"),G67+H64," ")</f>
        <v> </v>
      </c>
      <c r="I67">
        <f t="shared" si="1"/>
        <v>0</v>
      </c>
    </row>
    <row r="68" spans="1:9">
      <c r="G68" s="16" t="str">
        <f t="shared" si="5"/>
        <v> </v>
      </c>
      <c r="H68" t="str">
        <f t="shared" ref="H68:H98" si="6">IF(AND(G68&lt;&gt;" ",G68&lt;&gt;"ERROR",H67&lt;&gt;" ",H67&lt;&gt;"ERROR"),G68+H67," ")</f>
        <v> </v>
      </c>
      <c r="I68">
        <f t="shared" si="1"/>
        <v>0</v>
      </c>
    </row>
    <row r="69" spans="1:9">
      <c r="G69" s="16" t="str">
        <f t="shared" si="5"/>
        <v> </v>
      </c>
      <c r="H69" t="str">
        <f t="shared" si="6"/>
        <v> </v>
      </c>
      <c r="I69">
        <f t="shared" ref="I69:I132" si="7">((D69+E69)-(B69+C69))*24</f>
        <v>0</v>
      </c>
    </row>
    <row r="70" spans="1:9">
      <c r="G70" s="16" t="str">
        <f t="shared" si="5"/>
        <v> </v>
      </c>
      <c r="H70" t="str">
        <f t="shared" si="6"/>
        <v> </v>
      </c>
      <c r="I70">
        <f t="shared" si="7"/>
        <v>0</v>
      </c>
    </row>
    <row r="71" spans="1:9">
      <c r="G71" s="16" t="str">
        <f t="shared" si="5"/>
        <v> </v>
      </c>
      <c r="H71" t="str">
        <f t="shared" si="6"/>
        <v> </v>
      </c>
      <c r="I71">
        <f t="shared" si="7"/>
        <v>0</v>
      </c>
    </row>
    <row r="72" spans="1:9">
      <c r="G72" s="16" t="str">
        <f t="shared" si="5"/>
        <v> </v>
      </c>
      <c r="H72" t="str">
        <f t="shared" si="6"/>
        <v> </v>
      </c>
      <c r="I72">
        <f t="shared" si="7"/>
        <v>0</v>
      </c>
    </row>
    <row r="73" spans="1:9">
      <c r="G73" s="16" t="str">
        <f t="shared" si="5"/>
        <v> </v>
      </c>
      <c r="H73" t="str">
        <f t="shared" si="6"/>
        <v> </v>
      </c>
      <c r="I73">
        <f t="shared" si="7"/>
        <v>0</v>
      </c>
    </row>
    <row r="74" spans="1:9">
      <c r="G74" s="16" t="str">
        <f t="shared" si="5"/>
        <v> </v>
      </c>
      <c r="H74" t="str">
        <f t="shared" si="6"/>
        <v> </v>
      </c>
      <c r="I74">
        <f t="shared" si="7"/>
        <v>0</v>
      </c>
    </row>
    <row r="75" spans="1:9">
      <c r="G75" s="16" t="str">
        <f t="shared" si="5"/>
        <v> </v>
      </c>
      <c r="H75" t="str">
        <f t="shared" si="6"/>
        <v> </v>
      </c>
      <c r="I75">
        <f t="shared" si="7"/>
        <v>0</v>
      </c>
    </row>
    <row r="76" spans="1:9">
      <c r="G76" s="16" t="str">
        <f t="shared" si="5"/>
        <v> </v>
      </c>
      <c r="H76" t="str">
        <f t="shared" si="6"/>
        <v> </v>
      </c>
      <c r="I76">
        <f t="shared" si="7"/>
        <v>0</v>
      </c>
    </row>
    <row r="77" spans="1:9">
      <c r="G77" s="16" t="str">
        <f t="shared" si="5"/>
        <v> </v>
      </c>
      <c r="H77" t="str">
        <f t="shared" si="6"/>
        <v> </v>
      </c>
      <c r="I77">
        <f t="shared" si="7"/>
        <v>0</v>
      </c>
    </row>
    <row r="78" spans="1:9">
      <c r="G78" s="16" t="str">
        <f t="shared" si="5"/>
        <v> </v>
      </c>
      <c r="H78" t="str">
        <f t="shared" si="6"/>
        <v> </v>
      </c>
      <c r="I78">
        <f t="shared" si="7"/>
        <v>0</v>
      </c>
    </row>
    <row r="79" spans="1:9">
      <c r="G79" s="16" t="str">
        <f t="shared" si="5"/>
        <v> </v>
      </c>
      <c r="H79" t="str">
        <f t="shared" si="6"/>
        <v> </v>
      </c>
      <c r="I79">
        <f t="shared" si="7"/>
        <v>0</v>
      </c>
    </row>
    <row r="80" spans="1:9">
      <c r="G80" s="16" t="str">
        <f t="shared" si="5"/>
        <v> </v>
      </c>
      <c r="H80" t="str">
        <f t="shared" si="6"/>
        <v> </v>
      </c>
      <c r="I80">
        <f t="shared" si="7"/>
        <v>0</v>
      </c>
    </row>
    <row r="81" spans="7:9">
      <c r="G81" s="16" t="str">
        <f t="shared" si="5"/>
        <v> </v>
      </c>
      <c r="H81" t="str">
        <f t="shared" si="6"/>
        <v> </v>
      </c>
      <c r="I81">
        <f t="shared" si="7"/>
        <v>0</v>
      </c>
    </row>
    <row r="82" spans="7:9">
      <c r="G82" s="16" t="str">
        <f t="shared" si="5"/>
        <v> </v>
      </c>
      <c r="H82" t="str">
        <f t="shared" si="6"/>
        <v> </v>
      </c>
      <c r="I82">
        <f t="shared" si="7"/>
        <v>0</v>
      </c>
    </row>
    <row r="83" spans="7:9">
      <c r="G83" s="16" t="str">
        <f t="shared" si="5"/>
        <v> </v>
      </c>
      <c r="H83" t="str">
        <f t="shared" si="6"/>
        <v> </v>
      </c>
      <c r="I83">
        <f t="shared" si="7"/>
        <v>0</v>
      </c>
    </row>
    <row r="84" spans="7:9">
      <c r="G84" s="16" t="str">
        <f t="shared" si="5"/>
        <v> </v>
      </c>
      <c r="H84" t="str">
        <f t="shared" si="6"/>
        <v> </v>
      </c>
      <c r="I84">
        <f t="shared" si="7"/>
        <v>0</v>
      </c>
    </row>
    <row r="85" spans="7:9">
      <c r="G85" s="16" t="str">
        <f t="shared" si="5"/>
        <v> </v>
      </c>
      <c r="H85" t="str">
        <f t="shared" si="6"/>
        <v> </v>
      </c>
      <c r="I85">
        <f t="shared" si="7"/>
        <v>0</v>
      </c>
    </row>
    <row r="86" spans="7:9">
      <c r="G86" s="16" t="str">
        <f t="shared" si="5"/>
        <v> </v>
      </c>
      <c r="H86" t="str">
        <f t="shared" si="6"/>
        <v> </v>
      </c>
      <c r="I86">
        <f t="shared" si="7"/>
        <v>0</v>
      </c>
    </row>
    <row r="87" spans="7:9">
      <c r="G87" s="16" t="str">
        <f t="shared" si="5"/>
        <v> </v>
      </c>
      <c r="H87" t="str">
        <f t="shared" si="6"/>
        <v> </v>
      </c>
      <c r="I87">
        <f t="shared" si="7"/>
        <v>0</v>
      </c>
    </row>
    <row r="88" spans="7:9">
      <c r="G88" s="16" t="str">
        <f t="shared" si="5"/>
        <v> </v>
      </c>
      <c r="H88" t="str">
        <f t="shared" si="6"/>
        <v> </v>
      </c>
      <c r="I88">
        <f t="shared" si="7"/>
        <v>0</v>
      </c>
    </row>
    <row r="89" spans="7:9">
      <c r="G89" s="16" t="str">
        <f t="shared" si="5"/>
        <v> </v>
      </c>
      <c r="H89" t="str">
        <f t="shared" si="6"/>
        <v> </v>
      </c>
      <c r="I89">
        <f t="shared" si="7"/>
        <v>0</v>
      </c>
    </row>
    <row r="90" spans="7:9">
      <c r="G90" s="16" t="str">
        <f t="shared" si="5"/>
        <v> </v>
      </c>
      <c r="H90" t="str">
        <f t="shared" si="6"/>
        <v> </v>
      </c>
      <c r="I90">
        <f t="shared" si="7"/>
        <v>0</v>
      </c>
    </row>
    <row r="91" spans="7:9">
      <c r="G91" s="16" t="str">
        <f t="shared" si="5"/>
        <v> </v>
      </c>
      <c r="H91" t="str">
        <f t="shared" si="6"/>
        <v> </v>
      </c>
      <c r="I91">
        <f t="shared" si="7"/>
        <v>0</v>
      </c>
    </row>
    <row r="92" spans="7:9">
      <c r="G92" s="16" t="str">
        <f t="shared" si="5"/>
        <v> </v>
      </c>
      <c r="H92" t="str">
        <f t="shared" si="6"/>
        <v> </v>
      </c>
      <c r="I92">
        <f t="shared" si="7"/>
        <v>0</v>
      </c>
    </row>
    <row r="93" spans="7:9">
      <c r="G93" s="16" t="str">
        <f t="shared" si="5"/>
        <v> </v>
      </c>
      <c r="H93" t="str">
        <f t="shared" si="6"/>
        <v> </v>
      </c>
      <c r="I93">
        <f t="shared" si="7"/>
        <v>0</v>
      </c>
    </row>
    <row r="94" spans="7:9">
      <c r="G94" s="16" t="str">
        <f t="shared" si="5"/>
        <v> </v>
      </c>
      <c r="H94" t="str">
        <f t="shared" si="6"/>
        <v> </v>
      </c>
      <c r="I94">
        <f t="shared" si="7"/>
        <v>0</v>
      </c>
    </row>
    <row r="95" spans="7:9">
      <c r="G95" s="16" t="str">
        <f t="shared" si="5"/>
        <v> </v>
      </c>
      <c r="H95" t="str">
        <f t="shared" si="6"/>
        <v> </v>
      </c>
      <c r="I95">
        <f t="shared" si="7"/>
        <v>0</v>
      </c>
    </row>
    <row r="96" spans="7:9">
      <c r="G96" s="16" t="str">
        <f t="shared" si="5"/>
        <v> </v>
      </c>
      <c r="H96" t="str">
        <f t="shared" si="6"/>
        <v> </v>
      </c>
      <c r="I96">
        <f t="shared" si="7"/>
        <v>0</v>
      </c>
    </row>
    <row r="97" spans="1:9">
      <c r="G97" s="16" t="str">
        <f t="shared" si="5"/>
        <v> </v>
      </c>
      <c r="H97" t="str">
        <f t="shared" si="6"/>
        <v> </v>
      </c>
      <c r="I97">
        <f t="shared" si="7"/>
        <v>0</v>
      </c>
    </row>
    <row r="98" spans="1:9">
      <c r="G98" s="16" t="str">
        <f t="shared" si="5"/>
        <v> </v>
      </c>
      <c r="H98" t="str">
        <f t="shared" si="6"/>
        <v> </v>
      </c>
      <c r="I98">
        <f t="shared" si="7"/>
        <v>0</v>
      </c>
    </row>
    <row r="99" ht="15" spans="1:9">
      <c r="A99" s="4" t="s">
        <v>1</v>
      </c>
      <c r="B99" s="5" t="s">
        <v>2</v>
      </c>
      <c r="C99" s="6"/>
      <c r="D99" s="5" t="s">
        <v>3</v>
      </c>
      <c r="E99" s="6"/>
      <c r="F99" s="21" t="s">
        <v>4</v>
      </c>
      <c r="G99" s="21" t="s">
        <v>5</v>
      </c>
      <c r="H99" s="21" t="s">
        <v>6</v>
      </c>
      <c r="I99" t="e">
        <f t="shared" si="7"/>
        <v>#VALUE!</v>
      </c>
    </row>
    <row r="100" ht="15" spans="1:9">
      <c r="A100" s="9"/>
      <c r="B100" s="10" t="s">
        <v>7</v>
      </c>
      <c r="C100" s="11" t="s">
        <v>8</v>
      </c>
      <c r="D100" s="10" t="s">
        <v>7</v>
      </c>
      <c r="E100" s="11" t="s">
        <v>8</v>
      </c>
      <c r="F100" s="21"/>
      <c r="G100" s="21"/>
      <c r="H100" s="21"/>
      <c r="I100" t="e">
        <f t="shared" si="7"/>
        <v>#VALUE!</v>
      </c>
    </row>
    <row r="101" spans="1:9">
      <c r="G101" s="16" t="str">
        <f t="shared" ref="G101:G132" si="8">IF(I101&gt;0,I101,IF(I101=0," ","ERROR"))</f>
        <v> </v>
      </c>
      <c r="H101" t="str">
        <f>IF(AND(G101&lt;&gt;" ",G101&lt;&gt;"ERROR",H98&lt;&gt;" ",H98&lt;&gt;"ERROR"),G101+H98," ")</f>
        <v> </v>
      </c>
      <c r="I101">
        <f t="shared" si="7"/>
        <v>0</v>
      </c>
    </row>
    <row r="102" spans="1:9">
      <c r="G102" s="16" t="str">
        <f t="shared" si="8"/>
        <v> </v>
      </c>
      <c r="H102" t="str">
        <f t="shared" ref="H102:H132" si="9">IF(AND(G102&lt;&gt;" ",G102&lt;&gt;"ERROR",H101&lt;&gt;" ",H101&lt;&gt;"ERROR"),G102+H101," ")</f>
        <v> </v>
      </c>
      <c r="I102">
        <f t="shared" si="7"/>
        <v>0</v>
      </c>
    </row>
    <row r="103" spans="1:9">
      <c r="G103" s="16" t="str">
        <f t="shared" si="8"/>
        <v> </v>
      </c>
      <c r="H103" t="str">
        <f t="shared" si="9"/>
        <v> </v>
      </c>
      <c r="I103">
        <f t="shared" si="7"/>
        <v>0</v>
      </c>
    </row>
    <row r="104" spans="1:9">
      <c r="G104" s="16" t="str">
        <f t="shared" si="8"/>
        <v> </v>
      </c>
      <c r="H104" t="str">
        <f t="shared" si="9"/>
        <v> </v>
      </c>
      <c r="I104">
        <f t="shared" si="7"/>
        <v>0</v>
      </c>
    </row>
    <row r="105" spans="1:9">
      <c r="G105" s="16" t="str">
        <f t="shared" si="8"/>
        <v> </v>
      </c>
      <c r="H105" t="str">
        <f t="shared" si="9"/>
        <v> </v>
      </c>
      <c r="I105">
        <f t="shared" si="7"/>
        <v>0</v>
      </c>
    </row>
    <row r="106" spans="1:9">
      <c r="G106" s="16" t="str">
        <f t="shared" si="8"/>
        <v> </v>
      </c>
      <c r="H106" t="str">
        <f t="shared" si="9"/>
        <v> </v>
      </c>
      <c r="I106">
        <f t="shared" si="7"/>
        <v>0</v>
      </c>
    </row>
    <row r="107" spans="1:9">
      <c r="G107" s="16" t="str">
        <f t="shared" si="8"/>
        <v> </v>
      </c>
      <c r="H107" t="str">
        <f t="shared" si="9"/>
        <v> </v>
      </c>
      <c r="I107">
        <f t="shared" si="7"/>
        <v>0</v>
      </c>
    </row>
    <row r="108" spans="1:9">
      <c r="G108" s="16" t="str">
        <f t="shared" si="8"/>
        <v> </v>
      </c>
      <c r="H108" t="str">
        <f t="shared" si="9"/>
        <v> </v>
      </c>
      <c r="I108">
        <f t="shared" si="7"/>
        <v>0</v>
      </c>
    </row>
    <row r="109" spans="1:9">
      <c r="G109" s="16" t="str">
        <f t="shared" si="8"/>
        <v> </v>
      </c>
      <c r="H109" t="str">
        <f t="shared" si="9"/>
        <v> </v>
      </c>
      <c r="I109">
        <f t="shared" si="7"/>
        <v>0</v>
      </c>
    </row>
    <row r="110" spans="1:9">
      <c r="G110" s="16" t="str">
        <f t="shared" si="8"/>
        <v> </v>
      </c>
      <c r="H110" t="str">
        <f t="shared" si="9"/>
        <v> </v>
      </c>
      <c r="I110">
        <f t="shared" si="7"/>
        <v>0</v>
      </c>
    </row>
    <row r="111" spans="1:9">
      <c r="G111" s="16" t="str">
        <f t="shared" si="8"/>
        <v> </v>
      </c>
      <c r="H111" t="str">
        <f t="shared" si="9"/>
        <v> </v>
      </c>
      <c r="I111">
        <f t="shared" si="7"/>
        <v>0</v>
      </c>
    </row>
    <row r="112" spans="1:9">
      <c r="G112" s="16" t="str">
        <f t="shared" si="8"/>
        <v> </v>
      </c>
      <c r="H112" t="str">
        <f t="shared" si="9"/>
        <v> </v>
      </c>
      <c r="I112">
        <f t="shared" si="7"/>
        <v>0</v>
      </c>
    </row>
    <row r="113" spans="7:9">
      <c r="G113" s="16" t="str">
        <f t="shared" si="8"/>
        <v> </v>
      </c>
      <c r="H113" t="str">
        <f t="shared" si="9"/>
        <v> </v>
      </c>
      <c r="I113">
        <f t="shared" si="7"/>
        <v>0</v>
      </c>
    </row>
    <row r="114" spans="7:9">
      <c r="G114" s="16" t="str">
        <f t="shared" si="8"/>
        <v> </v>
      </c>
      <c r="H114" t="str">
        <f t="shared" si="9"/>
        <v> </v>
      </c>
      <c r="I114">
        <f t="shared" si="7"/>
        <v>0</v>
      </c>
    </row>
    <row r="115" spans="7:9">
      <c r="G115" s="16" t="str">
        <f t="shared" si="8"/>
        <v> </v>
      </c>
      <c r="H115" t="str">
        <f t="shared" si="9"/>
        <v> </v>
      </c>
      <c r="I115">
        <f t="shared" si="7"/>
        <v>0</v>
      </c>
    </row>
    <row r="116" spans="7:9">
      <c r="G116" s="16" t="str">
        <f t="shared" si="8"/>
        <v> </v>
      </c>
      <c r="H116" t="str">
        <f t="shared" si="9"/>
        <v> </v>
      </c>
      <c r="I116">
        <f t="shared" si="7"/>
        <v>0</v>
      </c>
    </row>
    <row r="117" spans="7:9">
      <c r="G117" s="16" t="str">
        <f t="shared" si="8"/>
        <v> </v>
      </c>
      <c r="H117" t="str">
        <f t="shared" si="9"/>
        <v> </v>
      </c>
      <c r="I117">
        <f t="shared" si="7"/>
        <v>0</v>
      </c>
    </row>
    <row r="118" spans="7:9">
      <c r="G118" s="16" t="str">
        <f t="shared" si="8"/>
        <v> </v>
      </c>
      <c r="H118" t="str">
        <f t="shared" si="9"/>
        <v> </v>
      </c>
      <c r="I118">
        <f t="shared" si="7"/>
        <v>0</v>
      </c>
    </row>
    <row r="119" spans="7:9">
      <c r="G119" s="16" t="str">
        <f t="shared" si="8"/>
        <v> </v>
      </c>
      <c r="H119" t="str">
        <f t="shared" si="9"/>
        <v> </v>
      </c>
      <c r="I119">
        <f t="shared" si="7"/>
        <v>0</v>
      </c>
    </row>
    <row r="120" spans="7:9">
      <c r="G120" s="16" t="str">
        <f t="shared" si="8"/>
        <v> </v>
      </c>
      <c r="H120" t="str">
        <f t="shared" si="9"/>
        <v> </v>
      </c>
      <c r="I120">
        <f t="shared" si="7"/>
        <v>0</v>
      </c>
    </row>
    <row r="121" spans="7:9">
      <c r="G121" s="16" t="str">
        <f t="shared" si="8"/>
        <v> </v>
      </c>
      <c r="H121" t="str">
        <f t="shared" si="9"/>
        <v> </v>
      </c>
      <c r="I121">
        <f t="shared" si="7"/>
        <v>0</v>
      </c>
    </row>
    <row r="122" spans="7:9">
      <c r="G122" s="16" t="str">
        <f t="shared" si="8"/>
        <v> </v>
      </c>
      <c r="H122" t="str">
        <f t="shared" si="9"/>
        <v> </v>
      </c>
      <c r="I122">
        <f t="shared" si="7"/>
        <v>0</v>
      </c>
    </row>
    <row r="123" spans="7:9">
      <c r="G123" s="16" t="str">
        <f t="shared" si="8"/>
        <v> </v>
      </c>
      <c r="H123" t="str">
        <f t="shared" si="9"/>
        <v> </v>
      </c>
      <c r="I123">
        <f t="shared" si="7"/>
        <v>0</v>
      </c>
    </row>
    <row r="124" spans="7:9">
      <c r="G124" s="16" t="str">
        <f t="shared" si="8"/>
        <v> </v>
      </c>
      <c r="H124" t="str">
        <f t="shared" si="9"/>
        <v> </v>
      </c>
      <c r="I124">
        <f t="shared" si="7"/>
        <v>0</v>
      </c>
    </row>
    <row r="125" spans="7:9">
      <c r="G125" s="16" t="str">
        <f t="shared" si="8"/>
        <v> </v>
      </c>
      <c r="H125" t="str">
        <f t="shared" si="9"/>
        <v> </v>
      </c>
      <c r="I125">
        <f t="shared" si="7"/>
        <v>0</v>
      </c>
    </row>
    <row r="126" spans="7:9">
      <c r="G126" s="16" t="str">
        <f t="shared" si="8"/>
        <v> </v>
      </c>
      <c r="H126" t="str">
        <f t="shared" si="9"/>
        <v> </v>
      </c>
      <c r="I126">
        <f t="shared" si="7"/>
        <v>0</v>
      </c>
    </row>
    <row r="127" spans="7:9">
      <c r="G127" s="16" t="str">
        <f t="shared" si="8"/>
        <v> </v>
      </c>
      <c r="H127" t="str">
        <f t="shared" si="9"/>
        <v> </v>
      </c>
      <c r="I127">
        <f t="shared" si="7"/>
        <v>0</v>
      </c>
    </row>
    <row r="128" spans="7:9">
      <c r="G128" s="16" t="str">
        <f t="shared" si="8"/>
        <v> </v>
      </c>
      <c r="H128" t="str">
        <f t="shared" si="9"/>
        <v> </v>
      </c>
      <c r="I128">
        <f t="shared" si="7"/>
        <v>0</v>
      </c>
    </row>
    <row r="129" spans="7:9">
      <c r="G129" s="16" t="str">
        <f t="shared" si="8"/>
        <v> </v>
      </c>
      <c r="H129" t="str">
        <f t="shared" si="9"/>
        <v> </v>
      </c>
      <c r="I129">
        <f t="shared" si="7"/>
        <v>0</v>
      </c>
    </row>
    <row r="130" spans="7:9">
      <c r="G130" s="16" t="str">
        <f t="shared" si="8"/>
        <v> </v>
      </c>
      <c r="H130" t="str">
        <f t="shared" si="9"/>
        <v> </v>
      </c>
      <c r="I130">
        <f t="shared" si="7"/>
        <v>0</v>
      </c>
    </row>
    <row r="131" spans="7:9">
      <c r="G131" s="16" t="str">
        <f t="shared" si="8"/>
        <v> </v>
      </c>
      <c r="H131" t="str">
        <f t="shared" si="9"/>
        <v> </v>
      </c>
      <c r="I131">
        <f t="shared" si="7"/>
        <v>0</v>
      </c>
    </row>
    <row r="132" spans="7:9">
      <c r="G132" s="16" t="str">
        <f t="shared" si="8"/>
        <v> </v>
      </c>
      <c r="H132" t="str">
        <f t="shared" si="9"/>
        <v> </v>
      </c>
      <c r="I132">
        <f t="shared" si="7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</cp:lastModifiedBy>
  <dcterms:created xsi:type="dcterms:W3CDTF">2026-09-12T13:33:00Z</dcterms:created>
  <dcterms:modified xsi:type="dcterms:W3CDTF">2026-10-03T11:01:26Z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E8938E64AD9C451AAC38A55D74CCD79C_12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