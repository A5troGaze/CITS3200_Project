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4/Booked Hours/"/>
    </mc:Choice>
  </mc:AlternateContent>
  <xr:revisionPtr revIDLastSave="0" documentId="8_{BE56443A-295B-4DD8-93B4-DB443AFE7690}" xr6:coauthVersionLast="47" xr6:coauthVersionMax="47" xr10:uidLastSave="{00000000-0000-0000-0000-000000000000}"/>
  <bookViews>
    <workbookView xWindow="11424" yWindow="0" windowWidth="11712" windowHeight="137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<sst xmlns="http://schemas.openxmlformats.org/spreadsheetml/2006/main" count="63" uniqueCount="25">
  <si>
    <r>
      <rPr>
        <b/>
        <sz val="12"/>
        <color rgb="FF000000"/>
        <rFont val="Lucida Sans"/>
      </rPr>
      <t xml:space="preserve">CITS3200 Project Billed Hours Record for &lt;Lithasa Munasinghe&gt;
</t>
    </r>
    <r>
      <rPr>
        <sz val="12"/>
        <color rgb="FF000000"/>
        <rFont val="Lucida Sans"/>
      </rPr>
      <t>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</si>
  <si>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</si>
  <si>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</si>
  <si>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</si>
  <si>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</si>
  <si>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</si>
  <si>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</si>
  <si>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</si>
  <si>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</si>
  <si>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</si>
  <si>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>Initial client meeting</t>
  </si>
  <si>
    <t>Project research</t>
  </si>
  <si>
    <t>Client meeting</t>
  </si>
  <si>
    <t>Sprint 2 user stories</t>
  </si>
  <si>
    <t>Set up the Ubuntu project development environment</t>
  </si>
  <si>
    <t>Made final corrections to the user stories</t>
  </si>
  <si>
    <t>Research for implementing person identification</t>
  </si>
  <si>
    <t>Researched approaches for developing the initial person-identification prototype</t>
  </si>
  <si>
    <t>Developed the initial person-identification prototype</t>
  </si>
  <si>
    <t>Reviewed and tested the finalized Person Identification implementation using recorded video and live camera</t>
  </si>
  <si>
    <t>Researched MediaPipe 3D world landmarks and reviewed joint-data requirements from client feedback</t>
  </si>
  <si>
    <t>Updated the person-identification prototype to export MediaPipe 3D world landmark coordinates</t>
  </si>
  <si>
    <t>Auditor meeting</t>
  </si>
  <si>
    <t>Mentor meeting</t>
  </si>
  <si>
    <t>Reviewed the multi-person leader-tracking implementation and developed a combined prototype with leader-only MediaPipe 3D world-landmark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</si>
</sst>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8"/>
      <name val="Verdana"/>
      <family val="2"/>
    </font>
    <font>
      <b/>
      <sz val="12"/>
      <color rgb="FF000000"/>
      <name val="Lucida Sans"/>
    </font>
    <font>
      <sz val="12"/>
      <color rgb="FF000000"/>
      <name val="Lucida Sa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zoomScale="125" zoomScaleNormal="100" workbookViewId="0">
      <selection activeCell="F26" sqref="F26"/>
    </sheetView>
  </sheetViews>
  <sheetFormatPr defaultColWidth="10.625" defaultRowHeight="12.6"/>
  <cols>
    <col min="1" max="1" width="5.875" style="1" customWidth="1"/>
    <col min="2" max="2" width="10.375" style="1" bestFit="1" customWidth="1"/>
    <col min="3" max="3" width="15.625" style="1" bestFit="1" customWidth="1"/>
    <col min="4" max="4" width="10.375" style="1" bestFit="1" customWidth="1"/>
    <col min="5" max="5" width="15.625" style="1" bestFit="1" customWidth="1"/>
    <col min="6" max="6" width="61.5" style="1" customWidth="1"/>
    <col min="7" max="7" width="9.375" style="1" customWidth="1"/>
    <col min="8" max="8" width="10.625" style="1"/>
    <col min="9" max="9" width="10.625" style="1" hidden="1" customWidth="1"/>
    <col min="10" max="16384" width="10.625" style="1"/>
  </cols>
  <sheetData>
    <row r="1" spans="1:9" ht="70.900000000000006" customHeight="1">
      <c r="A1" s="12" t="s">
        <v>0</v>
      </c>
      <c r="B1" s="13"/>
      <c r="C1" s="13"/>
      <c r="D1" s="13"/>
      <c r="E1" s="13"/>
      <c r="F1" s="13"/>
      <c r="G1" s="13"/>
      <c r="H1" s="14"/>
    </row>
    <row r="2" spans="1:9" ht="16.149999999999999" customHeight="1">
      <c r="A2" s="8" t="s">
        <v>1</v>
      </c>
      <c r="B2" s="10" t="s">
        <v>2</v>
      </c>
      <c r="C2" s="11"/>
      <c r="D2" s="10" t="s">
        <v>3</v>
      </c>
      <c r="E2" s="11"/>
      <c r="F2" s="17" t="s">
        <v>4</v>
      </c>
      <c r="G2" s="8" t="s">
        <v>5</v>
      </c>
      <c r="H2" s="15" t="s">
        <v>6</v>
      </c>
    </row>
    <row r="3" spans="1:9" ht="13.15" customHeight="1">
      <c r="A3" s="9"/>
      <c r="B3" s="2" t="s">
        <v>7</v>
      </c>
      <c r="C3" s="3" t="s">
        <v>8</v>
      </c>
      <c r="D3" s="2" t="s">
        <v>7</v>
      </c>
      <c r="E3" s="3" t="s">
        <v>8</v>
      </c>
      <c r="F3" s="18"/>
      <c r="G3" s="9"/>
      <c r="H3" s="16"/>
    </row>
    <row r="4" spans="1:9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f>IF(I4&gt;0,I4,IF(I4=0, " ", 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1.7499999999417923</v>
      </c>
      <c r="I5" s="1">
        <f t="shared" ref="I5:I68" si="1">((D5+E5)-(B5+C5))*24</f>
        <v>0.75</v>
      </c>
    </row>
    <row r="6" spans="1:9">
      <c r="A6" s="1">
        <v>3</v>
      </c>
      <c r="B6" s="4">
        <v>44776</v>
      </c>
      <c r="C6" s="5">
        <v>0.91666666666666663</v>
      </c>
      <c r="D6" s="4">
        <v>44776</v>
      </c>
      <c r="E6" s="5">
        <v>0.97916666666666663</v>
      </c>
      <c r="F6" s="1" t="s">
        <v>11</v>
      </c>
      <c r="G6" s="6">
        <f t="shared" si="0"/>
        <v>1.5</v>
      </c>
      <c r="H6" s="1">
        <f t="shared" ref="H6:H30" si="2">IF(AND(G6&lt;&gt;" ",G6&lt;&gt;"ERROR",H5&lt;&gt;" ", H5&lt;&gt;"ERROR"),G6+H5," ")</f>
        <v>3.2499999999417923</v>
      </c>
      <c r="I6" s="1">
        <f t="shared" si="1"/>
        <v>1.5</v>
      </c>
    </row>
    <row r="7" spans="1:9">
      <c r="A7" s="1">
        <v>3</v>
      </c>
      <c r="B7" s="4">
        <v>44777</v>
      </c>
      <c r="C7" s="5">
        <v>0.45833333333333331</v>
      </c>
      <c r="D7" s="4">
        <v>44777</v>
      </c>
      <c r="E7" s="5">
        <v>0.5</v>
      </c>
      <c r="F7" s="1" t="s">
        <v>9</v>
      </c>
      <c r="G7" s="6">
        <f t="shared" si="0"/>
        <v>0.99999999994179234</v>
      </c>
      <c r="H7" s="1">
        <f t="shared" si="2"/>
        <v>4.2499999998835847</v>
      </c>
      <c r="I7" s="1">
        <f t="shared" si="1"/>
        <v>0.99999999994179234</v>
      </c>
    </row>
    <row r="8" spans="1:9">
      <c r="A8" s="1">
        <v>3</v>
      </c>
      <c r="B8" s="4">
        <v>44777</v>
      </c>
      <c r="C8" s="5">
        <v>0.55208333333333337</v>
      </c>
      <c r="D8" s="4">
        <v>44777</v>
      </c>
      <c r="E8" s="5">
        <v>0.58333333333333337</v>
      </c>
      <c r="F8" s="1" t="s">
        <v>12</v>
      </c>
      <c r="G8" s="6">
        <f t="shared" si="0"/>
        <v>0.75</v>
      </c>
      <c r="H8" s="1">
        <f t="shared" si="2"/>
        <v>4.9999999998835847</v>
      </c>
      <c r="I8" s="1">
        <f t="shared" si="1"/>
        <v>0.75</v>
      </c>
    </row>
    <row r="9" spans="1:9">
      <c r="A9" s="1">
        <v>4</v>
      </c>
      <c r="B9" s="4">
        <v>44784</v>
      </c>
      <c r="C9" s="5">
        <v>0.375</v>
      </c>
      <c r="D9" s="4">
        <v>44784</v>
      </c>
      <c r="E9" s="5">
        <v>0.40625</v>
      </c>
      <c r="F9" s="1" t="s">
        <v>13</v>
      </c>
      <c r="G9" s="6">
        <f t="shared" si="0"/>
        <v>0.75</v>
      </c>
      <c r="H9" s="1">
        <f t="shared" si="2"/>
        <v>5.7499999998835847</v>
      </c>
      <c r="I9" s="1">
        <f t="shared" si="1"/>
        <v>0.75</v>
      </c>
    </row>
    <row r="10" spans="1:9">
      <c r="A10" s="1">
        <v>4</v>
      </c>
      <c r="B10" s="4">
        <v>44784</v>
      </c>
      <c r="C10" s="5">
        <v>0.45833333333333331</v>
      </c>
      <c r="D10" s="4">
        <v>44784</v>
      </c>
      <c r="E10" s="5">
        <v>0.5</v>
      </c>
      <c r="F10" s="1" t="s">
        <v>9</v>
      </c>
      <c r="G10" s="6">
        <f t="shared" si="0"/>
        <v>0.99999999994179234</v>
      </c>
      <c r="H10" s="1">
        <f t="shared" si="2"/>
        <v>6.749999999825377</v>
      </c>
      <c r="I10" s="1">
        <f t="shared" si="1"/>
        <v>0.99999999994179234</v>
      </c>
    </row>
    <row r="11" spans="1:9">
      <c r="A11" s="1">
        <v>4</v>
      </c>
      <c r="B11" s="4">
        <v>44784</v>
      </c>
      <c r="C11" s="5">
        <v>0.55208333333333337</v>
      </c>
      <c r="D11" s="4">
        <v>44784</v>
      </c>
      <c r="E11" s="5">
        <v>0.625</v>
      </c>
      <c r="F11" s="1" t="s">
        <v>14</v>
      </c>
      <c r="G11" s="6">
        <f t="shared" si="0"/>
        <v>1.7499999999417923</v>
      </c>
      <c r="H11" s="1">
        <f t="shared" si="2"/>
        <v>8.4999999997671694</v>
      </c>
      <c r="I11" s="1">
        <f t="shared" si="1"/>
        <v>1.7499999999417923</v>
      </c>
    </row>
    <row r="12" spans="1:9">
      <c r="A12" s="1">
        <v>4</v>
      </c>
      <c r="B12" s="4">
        <v>44784</v>
      </c>
      <c r="C12" s="5">
        <v>0.625</v>
      </c>
      <c r="D12" s="4">
        <v>44784</v>
      </c>
      <c r="E12" s="5">
        <v>0.66666666666666663</v>
      </c>
      <c r="F12" s="1" t="s">
        <v>15</v>
      </c>
      <c r="G12" s="6">
        <f t="shared" si="0"/>
        <v>0.99999999994179234</v>
      </c>
      <c r="H12" s="1">
        <f t="shared" si="2"/>
        <v>9.4999999997089617</v>
      </c>
      <c r="I12" s="1">
        <f t="shared" si="1"/>
        <v>0.99999999994179234</v>
      </c>
    </row>
    <row r="13" spans="1:9">
      <c r="A13" s="1">
        <v>4</v>
      </c>
      <c r="B13" s="4">
        <v>44785</v>
      </c>
      <c r="C13" s="5">
        <v>0.79166666666666663</v>
      </c>
      <c r="D13" s="4">
        <v>44785</v>
      </c>
      <c r="E13" s="5">
        <v>0.85416666666666663</v>
      </c>
      <c r="F13" s="1" t="s">
        <v>16</v>
      </c>
      <c r="G13" s="6">
        <f t="shared" si="0"/>
        <v>1.5</v>
      </c>
      <c r="H13" s="1">
        <f t="shared" si="2"/>
        <v>10.999999999708962</v>
      </c>
      <c r="I13" s="1">
        <f t="shared" si="1"/>
        <v>1.5</v>
      </c>
    </row>
    <row r="14" spans="1:9" ht="12.75">
      <c r="A14" s="1">
        <v>5</v>
      </c>
      <c r="B14" s="4">
        <v>44790</v>
      </c>
      <c r="C14" s="5">
        <v>0.89583333333333337</v>
      </c>
      <c r="D14" s="4">
        <v>44790</v>
      </c>
      <c r="E14" s="5">
        <v>0.92708333333333337</v>
      </c>
      <c r="F14" s="1" t="s">
        <v>17</v>
      </c>
      <c r="G14" s="6">
        <f t="shared" si="0"/>
        <v>0.75</v>
      </c>
      <c r="H14" s="1">
        <f t="shared" si="2"/>
        <v>11.749999999708962</v>
      </c>
      <c r="I14" s="1">
        <f t="shared" si="1"/>
        <v>0.75</v>
      </c>
    </row>
    <row r="15" spans="1:9" ht="12.75">
      <c r="A15" s="1">
        <v>5</v>
      </c>
      <c r="B15" s="4">
        <v>44790</v>
      </c>
      <c r="C15" s="5">
        <v>0.92708333333333337</v>
      </c>
      <c r="D15" s="4">
        <v>44790</v>
      </c>
      <c r="E15" s="5">
        <v>0.95833333333333337</v>
      </c>
      <c r="F15" s="1" t="s">
        <v>18</v>
      </c>
      <c r="G15" s="6">
        <f t="shared" si="0"/>
        <v>0.75</v>
      </c>
      <c r="H15" s="1">
        <f t="shared" si="2"/>
        <v>12.499999999708962</v>
      </c>
      <c r="I15" s="1">
        <f t="shared" si="1"/>
        <v>0.75</v>
      </c>
    </row>
    <row r="16" spans="1:9" ht="12.75">
      <c r="A16" s="1">
        <v>5</v>
      </c>
      <c r="B16" s="4">
        <v>44791</v>
      </c>
      <c r="C16" s="5">
        <v>0.45833333333333331</v>
      </c>
      <c r="D16" s="4">
        <v>44791</v>
      </c>
      <c r="E16" s="5">
        <v>0.5</v>
      </c>
      <c r="F16" s="1" t="s">
        <v>9</v>
      </c>
      <c r="G16" s="6">
        <f t="shared" si="0"/>
        <v>0.99999999994179234</v>
      </c>
      <c r="H16" s="1">
        <f t="shared" si="2"/>
        <v>13.499999999650754</v>
      </c>
      <c r="I16" s="1">
        <f t="shared" si="1"/>
        <v>0.99999999994179234</v>
      </c>
    </row>
    <row r="17" spans="1:9" ht="12.75">
      <c r="A17" s="1">
        <v>5</v>
      </c>
      <c r="B17" s="4">
        <v>44791</v>
      </c>
      <c r="C17" s="5">
        <v>0.5</v>
      </c>
      <c r="D17" s="4">
        <v>44791</v>
      </c>
      <c r="E17" s="5">
        <v>0.54166666666666663</v>
      </c>
      <c r="F17" s="1" t="s">
        <v>19</v>
      </c>
      <c r="G17" s="6">
        <f t="shared" si="0"/>
        <v>0.99999999994179234</v>
      </c>
      <c r="H17" s="1">
        <f t="shared" si="2"/>
        <v>14.499999999592546</v>
      </c>
      <c r="I17" s="1">
        <f t="shared" si="1"/>
        <v>0.99999999994179234</v>
      </c>
    </row>
    <row r="18" spans="1:9" ht="12.75">
      <c r="A18" s="1">
        <v>5</v>
      </c>
      <c r="B18" s="4">
        <v>44791</v>
      </c>
      <c r="C18" s="5">
        <v>0.54166666666666663</v>
      </c>
      <c r="D18" s="4">
        <v>44791</v>
      </c>
      <c r="E18" s="5">
        <v>0.58333333333333337</v>
      </c>
      <c r="F18" s="1" t="s">
        <v>12</v>
      </c>
      <c r="G18" s="6">
        <f t="shared" si="0"/>
        <v>1.0000000001164153</v>
      </c>
      <c r="H18" s="1">
        <f t="shared" si="2"/>
        <v>15.499999999708962</v>
      </c>
      <c r="I18" s="1">
        <f t="shared" si="1"/>
        <v>1.0000000001164153</v>
      </c>
    </row>
    <row r="19" spans="1:9" ht="12.75">
      <c r="A19" s="1">
        <v>5</v>
      </c>
      <c r="B19" s="4">
        <v>44793</v>
      </c>
      <c r="C19" s="5">
        <v>0.82291666666666663</v>
      </c>
      <c r="D19" s="4">
        <v>44793</v>
      </c>
      <c r="E19" s="5">
        <v>0.85416666666666663</v>
      </c>
      <c r="F19" s="1" t="s">
        <v>20</v>
      </c>
      <c r="G19" s="6">
        <f t="shared" si="0"/>
        <v>0.75</v>
      </c>
      <c r="H19" s="1">
        <f t="shared" si="2"/>
        <v>16.249999999708962</v>
      </c>
      <c r="I19" s="1">
        <f t="shared" si="1"/>
        <v>0.75</v>
      </c>
    </row>
    <row r="20" spans="1:9" ht="12.75">
      <c r="A20" s="1">
        <v>5</v>
      </c>
      <c r="B20" s="4">
        <v>44793</v>
      </c>
      <c r="C20" s="5">
        <v>0.85416666666666663</v>
      </c>
      <c r="D20" s="4">
        <v>44793</v>
      </c>
      <c r="E20" s="5">
        <v>0.88541666666666663</v>
      </c>
      <c r="F20" s="1" t="s">
        <v>21</v>
      </c>
      <c r="G20" s="6">
        <f t="shared" si="0"/>
        <v>0.75</v>
      </c>
      <c r="H20" s="1">
        <f t="shared" si="2"/>
        <v>16.999999999708962</v>
      </c>
      <c r="I20" s="1">
        <f t="shared" si="1"/>
        <v>0.75</v>
      </c>
    </row>
    <row r="21" spans="1:9" ht="12.75">
      <c r="A21" s="1">
        <v>6</v>
      </c>
      <c r="B21" s="4">
        <v>44798</v>
      </c>
      <c r="C21" s="5">
        <v>0.45833333333333331</v>
      </c>
      <c r="D21" s="4">
        <v>44798</v>
      </c>
      <c r="E21" s="5">
        <v>0.48958333333333331</v>
      </c>
      <c r="F21" s="1" t="s">
        <v>9</v>
      </c>
      <c r="G21" s="6">
        <f t="shared" si="0"/>
        <v>0.75</v>
      </c>
      <c r="H21" s="1">
        <f t="shared" si="2"/>
        <v>17.749999999708962</v>
      </c>
      <c r="I21" s="1">
        <f t="shared" si="1"/>
        <v>0.75</v>
      </c>
    </row>
    <row r="22" spans="1:9" ht="12.75">
      <c r="A22" s="1">
        <v>6</v>
      </c>
      <c r="B22" s="4">
        <v>44798</v>
      </c>
      <c r="C22" s="5">
        <v>0.5</v>
      </c>
      <c r="D22" s="4">
        <v>44798</v>
      </c>
      <c r="E22" s="5">
        <v>0.53125</v>
      </c>
      <c r="F22" s="1" t="s">
        <v>22</v>
      </c>
      <c r="G22" s="6">
        <f t="shared" si="0"/>
        <v>0.75</v>
      </c>
      <c r="H22" s="1">
        <f t="shared" si="2"/>
        <v>18.499999999708962</v>
      </c>
      <c r="I22" s="1">
        <f t="shared" si="1"/>
        <v>0.75</v>
      </c>
    </row>
    <row r="23" spans="1:9" ht="12.75">
      <c r="A23" s="1">
        <v>6</v>
      </c>
      <c r="B23" s="4">
        <v>44800</v>
      </c>
      <c r="C23" s="5">
        <v>0.64583333333333337</v>
      </c>
      <c r="D23" s="4">
        <v>44800</v>
      </c>
      <c r="E23" s="5">
        <v>0.66666666666666663</v>
      </c>
      <c r="F23" s="1" t="s">
        <v>23</v>
      </c>
      <c r="G23" s="6">
        <f t="shared" si="0"/>
        <v>0.49999999988358468</v>
      </c>
      <c r="H23" s="1">
        <f t="shared" si="2"/>
        <v>18.999999999592546</v>
      </c>
      <c r="I23" s="1">
        <f t="shared" si="1"/>
        <v>0.49999999988358468</v>
      </c>
    </row>
    <row r="24" spans="1:9">
      <c r="A24" s="1">
        <v>7</v>
      </c>
      <c r="B24" s="4">
        <v>44806</v>
      </c>
      <c r="C24" s="5">
        <v>0.41666666666666669</v>
      </c>
      <c r="D24" s="4">
        <v>44806</v>
      </c>
      <c r="E24" s="5">
        <v>0.47916666666666669</v>
      </c>
      <c r="F24" s="1" t="s">
        <v>24</v>
      </c>
      <c r="G24" s="6">
        <f t="shared" si="0"/>
        <v>1.5</v>
      </c>
      <c r="H24" s="1">
        <f t="shared" si="2"/>
        <v>20.499999999592546</v>
      </c>
      <c r="I24" s="1">
        <f t="shared" si="1"/>
        <v>1.5</v>
      </c>
    </row>
    <row r="25" spans="1:9" ht="12.75">
      <c r="A25" s="1">
        <v>7</v>
      </c>
      <c r="B25" s="4">
        <v>44812</v>
      </c>
      <c r="C25" s="5">
        <v>0.45833333333333331</v>
      </c>
      <c r="D25" s="4">
        <v>44812</v>
      </c>
      <c r="E25" s="5">
        <v>0.5</v>
      </c>
      <c r="F25" s="1" t="s">
        <v>9</v>
      </c>
      <c r="G25" s="6">
        <f t="shared" si="0"/>
        <v>0.99999999994179234</v>
      </c>
      <c r="H25" s="1">
        <f t="shared" si="2"/>
        <v>21.499999999534339</v>
      </c>
      <c r="I25" s="1">
        <f t="shared" si="1"/>
        <v>0.99999999994179234</v>
      </c>
    </row>
    <row r="26" spans="1:9">
      <c r="B26" s="4"/>
      <c r="C26" s="5"/>
      <c r="D26" s="4"/>
      <c r="E26" s="5"/>
      <c r="G26" s="6" t="str">
        <f t="shared" si="0"/>
        <v xml:space="preserve"> </v>
      </c>
      <c r="H26" s="1" t="str">
        <f t="shared" si="2"/>
        <v xml:space="preserve"> </v>
      </c>
      <c r="I26" s="1">
        <f t="shared" si="1"/>
        <v>0</v>
      </c>
    </row>
    <row r="27" spans="1:9">
      <c r="B27" s="4"/>
      <c r="C27" s="5"/>
      <c r="D27" s="4"/>
      <c r="E27" s="5"/>
      <c r="G27" s="6" t="str">
        <f t="shared" si="0"/>
        <v xml:space="preserve"> </v>
      </c>
      <c r="H27" s="1" t="str">
        <f t="shared" si="2"/>
        <v xml:space="preserve"> </v>
      </c>
      <c r="I27" s="1">
        <f t="shared" si="1"/>
        <v>0</v>
      </c>
    </row>
    <row r="28" spans="1:9">
      <c r="B28" s="4"/>
      <c r="C28" s="5"/>
      <c r="D28" s="4"/>
      <c r="E28" s="5"/>
      <c r="G28" s="6" t="str">
        <f t="shared" si="0"/>
        <v xml:space="preserve"> </v>
      </c>
      <c r="H28" s="1" t="str">
        <f t="shared" si="2"/>
        <v xml:space="preserve"> </v>
      </c>
      <c r="I28" s="1">
        <f t="shared" si="1"/>
        <v>0</v>
      </c>
    </row>
    <row r="29" spans="1:9">
      <c r="B29" s="4"/>
      <c r="C29" s="5"/>
      <c r="D29" s="4"/>
      <c r="E29" s="5"/>
      <c r="G29" s="6" t="str">
        <f t="shared" si="0"/>
        <v xml:space="preserve"> </v>
      </c>
      <c r="H29" s="1" t="str">
        <f t="shared" si="2"/>
        <v xml:space="preserve"> </v>
      </c>
      <c r="I29" s="1">
        <f t="shared" si="1"/>
        <v>0</v>
      </c>
    </row>
    <row r="30" spans="1:9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>
      <c r="A31" s="8" t="s">
        <v>1</v>
      </c>
      <c r="B31" s="10" t="s">
        <v>2</v>
      </c>
      <c r="C31" s="11"/>
      <c r="D31" s="10" t="s">
        <v>3</v>
      </c>
      <c r="E31" s="11"/>
      <c r="F31" s="7" t="s">
        <v>4</v>
      </c>
      <c r="G31" s="7" t="s">
        <v>5</v>
      </c>
      <c r="H31" s="7" t="s">
        <v>6</v>
      </c>
      <c r="I31" s="1" t="e">
        <f t="shared" si="1"/>
        <v>#VALUE!</v>
      </c>
    </row>
    <row r="32" spans="1:9" ht="15">
      <c r="A32" s="9"/>
      <c r="B32" s="2" t="s">
        <v>7</v>
      </c>
      <c r="C32" s="3" t="s">
        <v>8</v>
      </c>
      <c r="D32" s="2" t="s">
        <v>7</v>
      </c>
      <c r="E32" s="3" t="s">
        <v>8</v>
      </c>
      <c r="F32" s="7"/>
      <c r="G32" s="7"/>
      <c r="H32" s="7"/>
      <c r="I32" s="1" t="e">
        <f t="shared" si="1"/>
        <v>#VALUE!</v>
      </c>
    </row>
    <row r="33" spans="2:9">
      <c r="B33" s="4"/>
      <c r="C33" s="5"/>
      <c r="D33" s="4"/>
      <c r="E33" s="5"/>
      <c r="G33" s="6" t="str">
        <f t="shared" ref="G33:G64" si="3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>
      <c r="B34" s="4"/>
      <c r="C34" s="5"/>
      <c r="D34" s="4"/>
      <c r="E34" s="5"/>
      <c r="G34" s="6" t="str">
        <f t="shared" si="3"/>
        <v xml:space="preserve"> </v>
      </c>
      <c r="H34" s="1" t="str">
        <f t="shared" ref="H34:H64" si="4">IF(AND(G34&lt;&gt;" ",G34&lt;&gt;"ERROR",H33&lt;&gt;" ", H33&lt;&gt;"ERROR"),G34+H33," ")</f>
        <v xml:space="preserve"> </v>
      </c>
      <c r="I34" s="1">
        <f t="shared" si="1"/>
        <v>0</v>
      </c>
    </row>
    <row r="35" spans="2:9">
      <c r="B35" s="4"/>
      <c r="C35" s="5"/>
      <c r="D35" s="4"/>
      <c r="E35" s="5"/>
      <c r="G35" s="6" t="str">
        <f t="shared" si="3"/>
        <v xml:space="preserve"> </v>
      </c>
      <c r="H35" s="1" t="str">
        <f t="shared" si="4"/>
        <v xml:space="preserve"> </v>
      </c>
      <c r="I35" s="1">
        <f t="shared" si="1"/>
        <v>0</v>
      </c>
    </row>
    <row r="36" spans="2:9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si="1"/>
        <v>0</v>
      </c>
    </row>
    <row r="37" spans="2:9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1"/>
        <v>0</v>
      </c>
    </row>
    <row r="38" spans="2:9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1"/>
        <v>0</v>
      </c>
    </row>
    <row r="39" spans="2:9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1"/>
        <v>0</v>
      </c>
    </row>
    <row r="40" spans="2:9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1"/>
        <v>0</v>
      </c>
    </row>
    <row r="41" spans="2:9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1"/>
        <v>0</v>
      </c>
    </row>
    <row r="42" spans="2:9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1"/>
        <v>0</v>
      </c>
    </row>
    <row r="43" spans="2:9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2:9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2:9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2:9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2:9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2:9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>
      <c r="A65" s="8" t="s">
        <v>1</v>
      </c>
      <c r="B65" s="10" t="s">
        <v>2</v>
      </c>
      <c r="C65" s="11"/>
      <c r="D65" s="10" t="s">
        <v>3</v>
      </c>
      <c r="E65" s="11"/>
      <c r="F65" s="7" t="s">
        <v>4</v>
      </c>
      <c r="G65" s="7" t="s">
        <v>5</v>
      </c>
      <c r="H65" s="7" t="s">
        <v>6</v>
      </c>
      <c r="I65" s="1" t="e">
        <f t="shared" si="1"/>
        <v>#VALUE!</v>
      </c>
    </row>
    <row r="66" spans="1:9" ht="15">
      <c r="A66" s="9"/>
      <c r="B66" s="2" t="s">
        <v>7</v>
      </c>
      <c r="C66" s="3" t="s">
        <v>8</v>
      </c>
      <c r="D66" s="2" t="s">
        <v>7</v>
      </c>
      <c r="E66" s="3" t="s">
        <v>8</v>
      </c>
      <c r="F66" s="7"/>
      <c r="G66" s="7"/>
      <c r="H66" s="7"/>
      <c r="I66" s="1" t="e">
        <f t="shared" si="1"/>
        <v>#VALUE!</v>
      </c>
    </row>
    <row r="67" spans="1:9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>
      <c r="A99" s="8" t="s">
        <v>1</v>
      </c>
      <c r="B99" s="10" t="s">
        <v>2</v>
      </c>
      <c r="C99" s="11"/>
      <c r="D99" s="10" t="s">
        <v>3</v>
      </c>
      <c r="E99" s="11"/>
      <c r="F99" s="7" t="s">
        <v>4</v>
      </c>
      <c r="G99" s="7" t="s">
        <v>5</v>
      </c>
      <c r="H99" s="7" t="s">
        <v>6</v>
      </c>
      <c r="I99" s="1" t="e">
        <f t="shared" si="7"/>
        <v>#VALUE!</v>
      </c>
    </row>
    <row r="100" spans="1:9" ht="15">
      <c r="A100" s="9"/>
      <c r="B100" s="2" t="s">
        <v>7</v>
      </c>
      <c r="C100" s="3" t="s">
        <v>8</v>
      </c>
      <c r="D100" s="2" t="s">
        <v>7</v>
      </c>
      <c r="E100" s="3" t="s">
        <v>8</v>
      </c>
      <c r="F100" s="7"/>
      <c r="G100" s="7"/>
      <c r="H100" s="7"/>
      <c r="I100" s="1" t="e">
        <f t="shared" si="7"/>
        <v>#VALUE!</v>
      </c>
    </row>
    <row r="101" spans="1:9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School of Biomedical and Chemical Sciences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/>
  <cp:revision/>
  <dcterms:created xsi:type="dcterms:W3CDTF">2011-01-08T08:44:19Z</dcterms:created>
  <dcterms:modified xsi:type="dcterms:W3CDTF">2026-09-11T12:46:06Z</dcterms:modified>
  <cp:category/>
  <cp:contentStatus/>
</cp:coreProperties>
</file>