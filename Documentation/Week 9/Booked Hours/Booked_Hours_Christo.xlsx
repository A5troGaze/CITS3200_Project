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9/Booked Hours/"/>
    </mc:Choice>
  </mc:AlternateContent>
  <xr:revisionPtr revIDLastSave="429" documentId="13_ncr:40009_{31A31D98-CA30-574B-8C94-F50C456CB544}" xr6:coauthVersionLast="47" xr6:coauthVersionMax="47" xr10:uidLastSave="{1BCD1D8B-CD1C-41F0-A0D6-2620ED04675C}"/>
  <bookViews>
    <workbookView xWindow="-15420" yWindow="-3390" windowWidth="12150" windowHeight="20685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l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<sst xmlns="http://schemas.openxmlformats.org/spreadsheetml/2006/main" count="94" uniqueCount="43">
  <si>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</si>
  <si>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</si>
  <si>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</si>
  <si>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</si>
  <si>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</si>
  <si>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</si>
  <si>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</si>
  <si>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</si>
  <si>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</si>
  <si>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</si>
  <si>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</si>
  <si>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Writing up team documentation as well as researching project information</t>
  </si>
  <si>
    <t>Client meeting</t>
  </si>
  <si>
    <t>Finishing meeting minutes</t>
  </si>
  <si>
    <t>Project / scope research</t>
  </si>
  <si>
    <t>Meeting documentation</t>
  </si>
  <si>
    <t>Skills and Resources Audit</t>
  </si>
  <si>
    <t>Setting up project environment</t>
  </si>
  <si>
    <t>Writing up procedure for setting up Ubuntu project environment</t>
  </si>
  <si>
    <t>Writing meeting agenda</t>
  </si>
  <si>
    <t>Filling in team timesheet</t>
  </si>
  <si>
    <t>Group meeting</t>
  </si>
  <si>
    <t>Gesture recognition app coding</t>
  </si>
  <si>
    <t>Testing first instance of gesture recognition app</t>
  </si>
  <si>
    <t>Coded and registered gestures as vectors and gesture recognition core</t>
  </si>
  <si>
    <t>Tested and debugged recognition app</t>
  </si>
  <si>
    <t>Formal recognition app testing</t>
  </si>
  <si>
    <t>Auditor meeting</t>
  </si>
  <si>
    <t>Mentor meeting</t>
  </si>
  <si>
    <t>Gesture reaction coding</t>
  </si>
  <si>
    <t>Mujoco gesture testing</t>
  </si>
  <si>
    <t>CycloneDDS Mujoco coding</t>
  </si>
  <si>
    <t>Retrospective Documentation</t>
  </si>
  <si>
    <t>CycloneDDS Mujoco running documentation</t>
  </si>
  <si>
    <t>Client meeting Prep (documentation)</t>
  </si>
  <si>
    <t>Client Meeting</t>
  </si>
  <si>
    <t>Walking policy testing and debugging</t>
  </si>
  <si>
    <t>Research: ways to implement gesture control into a simulation</t>
  </si>
  <si>
    <t>Code gesture to gamepad bridge</t>
  </si>
  <si>
    <t>Code gesture to gamepad bridge w/ Murphy</t>
  </si>
  <si>
    <t>Documentation</t>
  </si>
  <si>
    <t>Person ID code testing and debugging</t>
  </si>
  <si>
    <t>Recording Demo for Client (Documentation)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</si>
</sst>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E31" zoomScale="85" zoomScaleNormal="85" workbookViewId="0">
      <selection activeCell="E59" sqref="E59"/>
    </sheetView>
  </sheetViews>
  <sheetFormatPr defaultColWidth="10.625" defaultRowHeight="12.75" x14ac:dyDescent="0.2"/>
  <cols>
    <col min="1" max="1" width="5.875" style="1" customWidth="1"/>
    <col min="2" max="2" width="11.375" style="1" bestFit="1" customWidth="1"/>
    <col min="3" max="3" width="15.625" style="1" bestFit="1" customWidth="1"/>
    <col min="4" max="4" width="11.375" style="1" bestFit="1" customWidth="1"/>
    <col min="5" max="5" width="15.625" style="1" bestFit="1" customWidth="1"/>
    <col min="6" max="6" width="64.125" style="1" customWidth="1"/>
    <col min="7" max="7" width="9.375" style="1" customWidth="1"/>
    <col min="8" max="8" width="10.625" style="1" customWidth="1"/>
    <col min="9" max="9" width="10.625" style="1" hidden="1" customWidth="1"/>
    <col min="10" max="16384" width="10.625" style="1"/>
  </cols>
  <sheetData>
    <row r="1" spans="1:9" ht="70.900000000000006" customHeight="1" x14ac:dyDescent="0.2">
      <c r="A1" s="12" t="s">
        <v>10</v>
      </c>
      <c r="B1" s="13"/>
      <c r="C1" s="13"/>
      <c r="D1" s="13"/>
      <c r="E1" s="13"/>
      <c r="F1" s="13"/>
      <c r="G1" s="13"/>
      <c r="H1" s="14"/>
    </row>
    <row r="2" spans="1:9" ht="16.149999999999999" customHeight="1" x14ac:dyDescent="0.2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15" customHeight="1" x14ac:dyDescent="0.2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 t="shared" ref="I4:I35" si="0"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1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si="0"/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F6" s="1" t="s">
        <v>11</v>
      </c>
      <c r="G6" s="6">
        <f t="shared" si="1"/>
        <v>0.75</v>
      </c>
      <c r="H6" s="1">
        <f t="shared" ref="H6:H30" si="2">IF(AND(G6&lt;&gt;" ",G6&lt;&gt;"ERROR",H5&lt;&gt;" ", H5&lt;&gt;"ERROR"),G6+H5," ")</f>
        <v>3</v>
      </c>
      <c r="I6" s="1">
        <f t="shared" si="0"/>
        <v>0.75</v>
      </c>
    </row>
    <row r="7" spans="1:9" x14ac:dyDescent="0.2">
      <c r="A7" s="1">
        <v>2</v>
      </c>
      <c r="B7" s="4">
        <v>44771</v>
      </c>
      <c r="C7" s="5">
        <v>0.5625</v>
      </c>
      <c r="D7" s="4">
        <v>44771</v>
      </c>
      <c r="E7" s="5">
        <v>0.60416666666666663</v>
      </c>
      <c r="F7" s="1" t="s">
        <v>12</v>
      </c>
      <c r="G7" s="6">
        <f t="shared" si="1"/>
        <v>0.99999999994179234</v>
      </c>
      <c r="H7" s="1">
        <f t="shared" si="2"/>
        <v>3.9999999999417923</v>
      </c>
      <c r="I7" s="1">
        <f t="shared" si="0"/>
        <v>0.99999999994179234</v>
      </c>
    </row>
    <row r="8" spans="1:9" x14ac:dyDescent="0.2">
      <c r="A8" s="1">
        <v>2</v>
      </c>
      <c r="B8" s="4">
        <v>44771</v>
      </c>
      <c r="C8" s="5">
        <v>0.85416666666666663</v>
      </c>
      <c r="D8" s="4">
        <v>44771</v>
      </c>
      <c r="E8" s="5">
        <v>0.875</v>
      </c>
      <c r="F8" s="1" t="s">
        <v>13</v>
      </c>
      <c r="G8" s="6">
        <f t="shared" si="1"/>
        <v>0.50000000005820766</v>
      </c>
      <c r="H8" s="1">
        <f t="shared" si="2"/>
        <v>4.5</v>
      </c>
      <c r="I8" s="1">
        <f t="shared" si="0"/>
        <v>0.50000000005820766</v>
      </c>
    </row>
    <row r="9" spans="1:9" x14ac:dyDescent="0.2">
      <c r="A9" s="1">
        <v>2</v>
      </c>
      <c r="B9" s="4">
        <v>44772</v>
      </c>
      <c r="C9" s="5">
        <v>0.79166666666666663</v>
      </c>
      <c r="D9" s="4">
        <v>44772</v>
      </c>
      <c r="E9" s="5">
        <v>0.8125</v>
      </c>
      <c r="F9" s="1" t="s">
        <v>20</v>
      </c>
      <c r="G9" s="6">
        <f t="shared" si="1"/>
        <v>0.50000000005820766</v>
      </c>
      <c r="H9" s="1">
        <f t="shared" si="2"/>
        <v>5.0000000000582077</v>
      </c>
      <c r="I9" s="1">
        <f t="shared" si="0"/>
        <v>0.50000000005820766</v>
      </c>
    </row>
    <row r="10" spans="1:9" x14ac:dyDescent="0.2">
      <c r="A10" s="1">
        <v>3</v>
      </c>
      <c r="B10" s="4">
        <v>44777</v>
      </c>
      <c r="C10" s="5">
        <v>0.35416666666666669</v>
      </c>
      <c r="D10" s="4">
        <v>44777</v>
      </c>
      <c r="E10" s="5">
        <v>0.40625</v>
      </c>
      <c r="F10" s="1" t="s">
        <v>14</v>
      </c>
      <c r="G10" s="6">
        <f t="shared" si="1"/>
        <v>1.2500000000582077</v>
      </c>
      <c r="H10" s="1">
        <f t="shared" si="2"/>
        <v>6.2500000001164153</v>
      </c>
      <c r="I10" s="1">
        <f t="shared" si="0"/>
        <v>1.2500000000582077</v>
      </c>
    </row>
    <row r="11" spans="1:9" x14ac:dyDescent="0.2">
      <c r="A11" s="1">
        <v>3</v>
      </c>
      <c r="B11" s="4">
        <v>44777</v>
      </c>
      <c r="C11" s="5">
        <v>0.45833333333333331</v>
      </c>
      <c r="D11" s="4">
        <v>44777</v>
      </c>
      <c r="E11" s="5">
        <v>0.5</v>
      </c>
      <c r="F11" s="1" t="s">
        <v>9</v>
      </c>
      <c r="G11" s="6">
        <f t="shared" si="1"/>
        <v>0.99999999994179234</v>
      </c>
      <c r="H11" s="1">
        <f t="shared" si="2"/>
        <v>7.2500000000582077</v>
      </c>
      <c r="I11" s="1">
        <f t="shared" si="0"/>
        <v>0.99999999994179234</v>
      </c>
    </row>
    <row r="12" spans="1:9" x14ac:dyDescent="0.2">
      <c r="A12" s="1">
        <v>3</v>
      </c>
      <c r="B12" s="4">
        <v>44777</v>
      </c>
      <c r="C12" s="5">
        <v>0.55208333333333337</v>
      </c>
      <c r="D12" s="4">
        <v>44777</v>
      </c>
      <c r="E12" s="5">
        <v>0.58333333333333337</v>
      </c>
      <c r="F12" s="1" t="s">
        <v>12</v>
      </c>
      <c r="G12" s="6">
        <f t="shared" si="1"/>
        <v>0.75</v>
      </c>
      <c r="H12" s="1">
        <f t="shared" si="2"/>
        <v>8.0000000000582077</v>
      </c>
      <c r="I12" s="1">
        <f t="shared" si="0"/>
        <v>0.75</v>
      </c>
    </row>
    <row r="13" spans="1:9" x14ac:dyDescent="0.2">
      <c r="A13" s="1">
        <v>3</v>
      </c>
      <c r="B13" s="4">
        <v>44777</v>
      </c>
      <c r="C13" s="5">
        <v>0.70833333333333337</v>
      </c>
      <c r="D13" s="4">
        <v>44777</v>
      </c>
      <c r="E13" s="5">
        <v>0.76041666666666663</v>
      </c>
      <c r="F13" s="1" t="s">
        <v>15</v>
      </c>
      <c r="G13" s="6">
        <f t="shared" si="1"/>
        <v>1.2499999998835847</v>
      </c>
      <c r="H13" s="1">
        <f t="shared" si="2"/>
        <v>9.2499999999417923</v>
      </c>
      <c r="I13" s="1">
        <f t="shared" si="0"/>
        <v>1.2499999998835847</v>
      </c>
    </row>
    <row r="14" spans="1:9" x14ac:dyDescent="0.2">
      <c r="A14" s="1">
        <v>3</v>
      </c>
      <c r="B14" s="4">
        <v>44778</v>
      </c>
      <c r="C14" s="5">
        <v>0.33333333333333331</v>
      </c>
      <c r="D14" s="4">
        <v>44778</v>
      </c>
      <c r="E14" s="5">
        <v>0.36458333333333331</v>
      </c>
      <c r="F14" s="1" t="s">
        <v>16</v>
      </c>
      <c r="G14" s="6">
        <f t="shared" si="1"/>
        <v>0.75</v>
      </c>
      <c r="H14" s="1">
        <f t="shared" si="2"/>
        <v>9.9999999999417923</v>
      </c>
      <c r="I14" s="1">
        <f t="shared" si="0"/>
        <v>0.75</v>
      </c>
    </row>
    <row r="15" spans="1:9" x14ac:dyDescent="0.2">
      <c r="A15" s="1">
        <v>3</v>
      </c>
      <c r="B15" s="4">
        <v>44779</v>
      </c>
      <c r="C15" s="5">
        <v>0.85416666666666663</v>
      </c>
      <c r="D15" s="4">
        <v>44779</v>
      </c>
      <c r="E15" s="5">
        <v>0.875</v>
      </c>
      <c r="F15" s="1" t="s">
        <v>20</v>
      </c>
      <c r="G15" s="6">
        <f t="shared" si="1"/>
        <v>0.50000000005820766</v>
      </c>
      <c r="H15" s="1">
        <f t="shared" si="2"/>
        <v>10.5</v>
      </c>
      <c r="I15" s="1">
        <f t="shared" si="0"/>
        <v>0.50000000005820766</v>
      </c>
    </row>
    <row r="16" spans="1:9" x14ac:dyDescent="0.2">
      <c r="A16" s="1">
        <v>4</v>
      </c>
      <c r="B16" s="4">
        <v>44782</v>
      </c>
      <c r="C16" s="5">
        <v>0.41666666666666669</v>
      </c>
      <c r="D16" s="4">
        <v>44782</v>
      </c>
      <c r="E16" s="5">
        <v>0.42708333333333331</v>
      </c>
      <c r="F16" s="1" t="s">
        <v>19</v>
      </c>
      <c r="G16" s="6">
        <f t="shared" si="1"/>
        <v>0.25000000011641532</v>
      </c>
      <c r="H16" s="1">
        <f t="shared" si="2"/>
        <v>10.750000000116415</v>
      </c>
      <c r="I16" s="1">
        <f t="shared" si="0"/>
        <v>0.25000000011641532</v>
      </c>
    </row>
    <row r="17" spans="1:9" x14ac:dyDescent="0.2">
      <c r="A17" s="1">
        <v>4</v>
      </c>
      <c r="B17" s="4">
        <v>44782</v>
      </c>
      <c r="C17" s="5">
        <v>0.70833333333333337</v>
      </c>
      <c r="D17" s="4">
        <v>44782</v>
      </c>
      <c r="E17" s="5">
        <v>0.75</v>
      </c>
      <c r="F17" s="1" t="s">
        <v>17</v>
      </c>
      <c r="G17" s="6">
        <f t="shared" si="1"/>
        <v>0.99999999994179234</v>
      </c>
      <c r="H17" s="1">
        <f t="shared" si="2"/>
        <v>11.750000000058208</v>
      </c>
      <c r="I17" s="1">
        <f t="shared" si="0"/>
        <v>0.99999999994179234</v>
      </c>
    </row>
    <row r="18" spans="1:9" x14ac:dyDescent="0.2">
      <c r="A18" s="1">
        <v>4</v>
      </c>
      <c r="B18" s="4">
        <v>44782</v>
      </c>
      <c r="C18" s="5">
        <v>0.75</v>
      </c>
      <c r="D18" s="4">
        <v>44782</v>
      </c>
      <c r="E18" s="5">
        <v>0.79166666666666663</v>
      </c>
      <c r="F18" s="1" t="s">
        <v>18</v>
      </c>
      <c r="G18" s="6">
        <f t="shared" si="1"/>
        <v>0.99999999994179234</v>
      </c>
      <c r="H18" s="1">
        <f t="shared" si="2"/>
        <v>12.75</v>
      </c>
      <c r="I18" s="1">
        <f t="shared" si="0"/>
        <v>0.99999999994179234</v>
      </c>
    </row>
    <row r="19" spans="1:9" x14ac:dyDescent="0.2">
      <c r="A19" s="1">
        <v>4</v>
      </c>
      <c r="B19" s="4">
        <v>44784</v>
      </c>
      <c r="C19" s="5">
        <v>0.45833333333333331</v>
      </c>
      <c r="D19" s="4">
        <v>44784</v>
      </c>
      <c r="E19" s="5">
        <v>0.5</v>
      </c>
      <c r="F19" s="1" t="s">
        <v>21</v>
      </c>
      <c r="G19" s="6">
        <f t="shared" si="1"/>
        <v>0.99999999994179234</v>
      </c>
      <c r="H19" s="1">
        <f t="shared" si="2"/>
        <v>13.749999999941792</v>
      </c>
      <c r="I19" s="1">
        <f t="shared" si="0"/>
        <v>0.99999999994179234</v>
      </c>
    </row>
    <row r="20" spans="1:9" x14ac:dyDescent="0.2">
      <c r="A20" s="1">
        <v>4</v>
      </c>
      <c r="B20" s="4">
        <v>44784</v>
      </c>
      <c r="C20" s="5">
        <v>0.54166666666666663</v>
      </c>
      <c r="D20" s="4">
        <v>44784</v>
      </c>
      <c r="E20" s="5">
        <v>0.55208333333333337</v>
      </c>
      <c r="F20" s="1" t="s">
        <v>12</v>
      </c>
      <c r="G20" s="6">
        <f t="shared" si="1"/>
        <v>0.25000000011641532</v>
      </c>
      <c r="H20" s="1">
        <f t="shared" si="2"/>
        <v>14.000000000058208</v>
      </c>
      <c r="I20" s="1">
        <f t="shared" si="0"/>
        <v>0.25000000011641532</v>
      </c>
    </row>
    <row r="21" spans="1:9" x14ac:dyDescent="0.2">
      <c r="A21" s="1">
        <v>4</v>
      </c>
      <c r="B21" s="4">
        <v>44784</v>
      </c>
      <c r="C21" s="5">
        <v>0.60416666666666663</v>
      </c>
      <c r="D21" s="4">
        <v>44784</v>
      </c>
      <c r="E21" s="5">
        <v>0.61458333333333337</v>
      </c>
      <c r="F21" s="1" t="s">
        <v>15</v>
      </c>
      <c r="G21" s="6">
        <f t="shared" si="1"/>
        <v>0.25000000011641532</v>
      </c>
      <c r="H21" s="1">
        <f t="shared" si="2"/>
        <v>14.250000000174623</v>
      </c>
      <c r="I21" s="1">
        <f t="shared" si="0"/>
        <v>0.25000000011641532</v>
      </c>
    </row>
    <row r="22" spans="1:9" x14ac:dyDescent="0.2">
      <c r="A22" s="1">
        <v>4</v>
      </c>
      <c r="B22" s="4">
        <v>44786</v>
      </c>
      <c r="C22" s="5">
        <v>0.70833333333333337</v>
      </c>
      <c r="D22" s="4">
        <v>44786</v>
      </c>
      <c r="E22" s="5">
        <v>0.75</v>
      </c>
      <c r="F22" s="1" t="s">
        <v>22</v>
      </c>
      <c r="G22" s="6">
        <f t="shared" si="1"/>
        <v>0.99999999994179234</v>
      </c>
      <c r="H22" s="1">
        <f t="shared" si="2"/>
        <v>15.250000000116415</v>
      </c>
      <c r="I22" s="1">
        <f t="shared" si="0"/>
        <v>0.99999999994179234</v>
      </c>
    </row>
    <row r="23" spans="1:9" x14ac:dyDescent="0.2">
      <c r="A23" s="1">
        <v>4</v>
      </c>
      <c r="B23" s="4">
        <v>44786</v>
      </c>
      <c r="C23" s="5">
        <v>0.875</v>
      </c>
      <c r="D23" s="4">
        <v>44786</v>
      </c>
      <c r="E23" s="5">
        <v>0.88541666666666663</v>
      </c>
      <c r="F23" s="1" t="s">
        <v>20</v>
      </c>
      <c r="G23" s="6">
        <f t="shared" si="1"/>
        <v>0.24999999994179234</v>
      </c>
      <c r="H23" s="1">
        <f t="shared" si="2"/>
        <v>15.500000000058208</v>
      </c>
      <c r="I23" s="1">
        <f t="shared" si="0"/>
        <v>0.24999999994179234</v>
      </c>
    </row>
    <row r="24" spans="1:9" x14ac:dyDescent="0.2">
      <c r="A24" s="1">
        <v>5</v>
      </c>
      <c r="B24" s="4">
        <v>44787</v>
      </c>
      <c r="C24" s="5">
        <v>0.45833333333333331</v>
      </c>
      <c r="D24" s="4">
        <v>44787</v>
      </c>
      <c r="E24" s="5">
        <v>0.48958333333333331</v>
      </c>
      <c r="F24" s="1" t="s">
        <v>22</v>
      </c>
      <c r="G24" s="6">
        <f t="shared" si="1"/>
        <v>0.75</v>
      </c>
      <c r="H24" s="1">
        <f t="shared" si="2"/>
        <v>16.250000000058208</v>
      </c>
      <c r="I24" s="1">
        <f t="shared" si="0"/>
        <v>0.75</v>
      </c>
    </row>
    <row r="25" spans="1:9" x14ac:dyDescent="0.2">
      <c r="A25" s="1">
        <v>5</v>
      </c>
      <c r="B25" s="4">
        <v>44787</v>
      </c>
      <c r="C25" s="5">
        <v>0.48958333333333331</v>
      </c>
      <c r="D25" s="4">
        <v>44787</v>
      </c>
      <c r="E25" s="5">
        <v>0.5</v>
      </c>
      <c r="F25" s="1" t="s">
        <v>23</v>
      </c>
      <c r="G25" s="6">
        <f t="shared" si="1"/>
        <v>0.24999999994179234</v>
      </c>
      <c r="H25" s="1">
        <f t="shared" si="2"/>
        <v>16.5</v>
      </c>
      <c r="I25" s="1">
        <f t="shared" si="0"/>
        <v>0.24999999994179234</v>
      </c>
    </row>
    <row r="26" spans="1:9" x14ac:dyDescent="0.2">
      <c r="A26" s="1">
        <v>5</v>
      </c>
      <c r="B26" s="4">
        <v>44787</v>
      </c>
      <c r="C26" s="5">
        <v>0.54166666666666663</v>
      </c>
      <c r="D26" s="4">
        <v>44787</v>
      </c>
      <c r="E26" s="5">
        <v>0.625</v>
      </c>
      <c r="F26" s="1" t="s">
        <v>24</v>
      </c>
      <c r="G26" s="6">
        <f t="shared" si="1"/>
        <v>2.0000000000582077</v>
      </c>
      <c r="H26" s="1">
        <f t="shared" si="2"/>
        <v>18.500000000058208</v>
      </c>
      <c r="I26" s="1">
        <f t="shared" si="0"/>
        <v>2.0000000000582077</v>
      </c>
    </row>
    <row r="27" spans="1:9" x14ac:dyDescent="0.2">
      <c r="A27" s="1">
        <v>5</v>
      </c>
      <c r="B27" s="4">
        <v>44789</v>
      </c>
      <c r="C27" s="5">
        <v>0.5</v>
      </c>
      <c r="D27" s="4">
        <v>44789</v>
      </c>
      <c r="E27" s="5">
        <v>0.54166666666666663</v>
      </c>
      <c r="F27" s="1" t="s">
        <v>25</v>
      </c>
      <c r="G27" s="6">
        <f t="shared" si="1"/>
        <v>0.99999999994179234</v>
      </c>
      <c r="H27" s="1">
        <f t="shared" si="2"/>
        <v>19.5</v>
      </c>
      <c r="I27" s="1">
        <f t="shared" si="0"/>
        <v>0.99999999994179234</v>
      </c>
    </row>
    <row r="28" spans="1:9" x14ac:dyDescent="0.2">
      <c r="A28" s="1">
        <v>5</v>
      </c>
      <c r="B28" s="4">
        <v>44791</v>
      </c>
      <c r="C28" s="5">
        <v>0.45833333333333331</v>
      </c>
      <c r="D28" s="4">
        <v>44791</v>
      </c>
      <c r="E28" s="5">
        <v>0.53125</v>
      </c>
      <c r="F28" s="1" t="s">
        <v>9</v>
      </c>
      <c r="G28" s="6">
        <f t="shared" si="1"/>
        <v>1.7499999999417923</v>
      </c>
      <c r="H28" s="1">
        <f t="shared" si="2"/>
        <v>21.249999999941792</v>
      </c>
      <c r="I28" s="1">
        <f t="shared" si="0"/>
        <v>1.7499999999417923</v>
      </c>
    </row>
    <row r="29" spans="1:9" x14ac:dyDescent="0.2">
      <c r="A29" s="1">
        <v>5</v>
      </c>
      <c r="B29" s="4">
        <v>44791</v>
      </c>
      <c r="C29" s="5">
        <v>0.54166666666666663</v>
      </c>
      <c r="D29" s="4">
        <v>44791</v>
      </c>
      <c r="E29" s="5">
        <v>0.5625</v>
      </c>
      <c r="F29" s="1" t="s">
        <v>12</v>
      </c>
      <c r="G29" s="6">
        <f t="shared" si="1"/>
        <v>0.50000000005820766</v>
      </c>
      <c r="H29" s="1">
        <f t="shared" si="2"/>
        <v>21.75</v>
      </c>
      <c r="I29" s="1">
        <f t="shared" si="0"/>
        <v>0.50000000005820766</v>
      </c>
    </row>
    <row r="30" spans="1:9" x14ac:dyDescent="0.2">
      <c r="A30" s="1">
        <v>5</v>
      </c>
      <c r="B30" s="4">
        <v>44793</v>
      </c>
      <c r="C30" s="5">
        <v>0.33333333333333331</v>
      </c>
      <c r="D30" s="4">
        <v>44793</v>
      </c>
      <c r="E30" s="5">
        <v>0.39583333333333331</v>
      </c>
      <c r="F30" s="1" t="s">
        <v>26</v>
      </c>
      <c r="G30" s="6">
        <f t="shared" si="1"/>
        <v>1.5</v>
      </c>
      <c r="H30" s="1">
        <f t="shared" si="2"/>
        <v>23.25</v>
      </c>
      <c r="I30" s="1">
        <f t="shared" si="0"/>
        <v>1.5</v>
      </c>
    </row>
    <row r="31" spans="1:9" ht="15" x14ac:dyDescent="0.2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0"/>
        <v>#VALUE!</v>
      </c>
    </row>
    <row r="32" spans="1:9" ht="15" x14ac:dyDescent="0.2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0"/>
        <v>#VALUE!</v>
      </c>
    </row>
    <row r="33" spans="1:9" x14ac:dyDescent="0.2">
      <c r="A33" s="1">
        <v>6</v>
      </c>
      <c r="B33" s="4">
        <v>44798</v>
      </c>
      <c r="C33" s="5">
        <v>0.45833333333333331</v>
      </c>
      <c r="D33" s="4">
        <v>44798</v>
      </c>
      <c r="E33" s="5">
        <v>0.48958333333333331</v>
      </c>
      <c r="F33" s="1" t="s">
        <v>9</v>
      </c>
      <c r="G33" s="6">
        <f t="shared" ref="G33:G64" si="3">IF(I33&gt;0,I33,IF(I33=0, " ", "ERROR"))</f>
        <v>0.75</v>
      </c>
      <c r="H33" s="1">
        <f>IF(AND(G33&lt;&gt;" ",G33&lt;&gt;"ERROR",H30&lt;&gt;" ", H30&lt;&gt;"ERROR"),G33+H30," ")</f>
        <v>24</v>
      </c>
      <c r="I33" s="1">
        <f t="shared" si="0"/>
        <v>0.75</v>
      </c>
    </row>
    <row r="34" spans="1:9" x14ac:dyDescent="0.2">
      <c r="A34" s="1">
        <v>6</v>
      </c>
      <c r="B34" s="4">
        <v>44798</v>
      </c>
      <c r="C34" s="5">
        <v>0.5</v>
      </c>
      <c r="D34" s="4">
        <v>44798</v>
      </c>
      <c r="E34" s="5">
        <v>0.53125</v>
      </c>
      <c r="F34" s="1" t="s">
        <v>27</v>
      </c>
      <c r="G34" s="6">
        <f t="shared" si="3"/>
        <v>0.75</v>
      </c>
      <c r="H34" s="1">
        <f t="shared" ref="H34:H64" si="4">IF(AND(G34&lt;&gt;" ",G34&lt;&gt;"ERROR",H33&lt;&gt;" ", H33&lt;&gt;"ERROR"),G34+H33," ")</f>
        <v>24.75</v>
      </c>
      <c r="I34" s="1">
        <f t="shared" si="0"/>
        <v>0.75</v>
      </c>
    </row>
    <row r="35" spans="1:9" x14ac:dyDescent="0.2">
      <c r="A35" s="1">
        <v>6</v>
      </c>
      <c r="B35" s="4">
        <v>44800</v>
      </c>
      <c r="C35" s="5">
        <v>0.64583333333333337</v>
      </c>
      <c r="D35" s="4">
        <v>44800</v>
      </c>
      <c r="E35" s="5">
        <v>0.66666666666666663</v>
      </c>
      <c r="F35" s="1" t="s">
        <v>28</v>
      </c>
      <c r="G35" s="6">
        <f t="shared" si="3"/>
        <v>0.49999999988358468</v>
      </c>
      <c r="H35" s="1">
        <f t="shared" si="4"/>
        <v>25.249999999883585</v>
      </c>
      <c r="I35" s="1">
        <f t="shared" si="0"/>
        <v>0.49999999988358468</v>
      </c>
    </row>
    <row r="36" spans="1:9" x14ac:dyDescent="0.2">
      <c r="A36" s="1">
        <v>7</v>
      </c>
      <c r="B36" s="4">
        <v>44808</v>
      </c>
      <c r="C36" s="5">
        <v>0.33333333333333331</v>
      </c>
      <c r="D36" s="4">
        <v>44808</v>
      </c>
      <c r="E36" s="5">
        <v>0.45833333333333331</v>
      </c>
      <c r="F36" s="1" t="s">
        <v>29</v>
      </c>
      <c r="G36" s="6">
        <f t="shared" si="3"/>
        <v>3</v>
      </c>
      <c r="H36" s="1">
        <f t="shared" si="4"/>
        <v>28.249999999883585</v>
      </c>
      <c r="I36" s="1">
        <f t="shared" ref="I36:I68" si="5">((D36+E36)-(B36+C36))*24</f>
        <v>3</v>
      </c>
    </row>
    <row r="37" spans="1:9" x14ac:dyDescent="0.2">
      <c r="A37" s="1">
        <v>7</v>
      </c>
      <c r="B37" s="4">
        <v>44809</v>
      </c>
      <c r="C37" s="5">
        <v>0.70833333333333337</v>
      </c>
      <c r="D37" s="4">
        <v>44809</v>
      </c>
      <c r="E37" s="5">
        <v>0.77083333333333337</v>
      </c>
      <c r="F37" s="1" t="s">
        <v>29</v>
      </c>
      <c r="G37" s="6">
        <f t="shared" si="3"/>
        <v>1.5</v>
      </c>
      <c r="H37" s="1">
        <f t="shared" si="4"/>
        <v>29.749999999883585</v>
      </c>
      <c r="I37" s="1">
        <f t="shared" si="5"/>
        <v>1.5</v>
      </c>
    </row>
    <row r="38" spans="1:9" x14ac:dyDescent="0.2">
      <c r="A38" s="1">
        <v>7</v>
      </c>
      <c r="B38" s="4">
        <v>44812</v>
      </c>
      <c r="C38" s="5">
        <v>0.45833333333333331</v>
      </c>
      <c r="D38" s="4">
        <v>44812</v>
      </c>
      <c r="E38" s="5">
        <v>0.5</v>
      </c>
      <c r="F38" s="1" t="s">
        <v>9</v>
      </c>
      <c r="G38" s="6">
        <f t="shared" si="3"/>
        <v>0.99999999994179234</v>
      </c>
      <c r="H38" s="1">
        <f t="shared" si="4"/>
        <v>30.749999999825377</v>
      </c>
      <c r="I38" s="1">
        <f t="shared" si="5"/>
        <v>0.99999999994179234</v>
      </c>
    </row>
    <row r="39" spans="1:9" x14ac:dyDescent="0.2">
      <c r="A39" s="1">
        <v>7</v>
      </c>
      <c r="B39" s="4">
        <v>44814</v>
      </c>
      <c r="C39" s="5">
        <v>0.79166666666666663</v>
      </c>
      <c r="D39" s="4">
        <v>44814</v>
      </c>
      <c r="E39" s="5">
        <v>0.83333333333333337</v>
      </c>
      <c r="F39" s="1" t="s">
        <v>30</v>
      </c>
      <c r="G39" s="6">
        <f t="shared" si="3"/>
        <v>1.0000000001164153</v>
      </c>
      <c r="H39" s="1">
        <f t="shared" si="4"/>
        <v>31.749999999941792</v>
      </c>
      <c r="I39" s="1">
        <f t="shared" si="5"/>
        <v>1.0000000001164153</v>
      </c>
    </row>
    <row r="40" spans="1:9" x14ac:dyDescent="0.2">
      <c r="A40" s="1">
        <v>7</v>
      </c>
      <c r="B40" s="4">
        <v>44814</v>
      </c>
      <c r="C40" s="5">
        <v>0.83333333333333337</v>
      </c>
      <c r="D40" s="4">
        <v>44814</v>
      </c>
      <c r="E40" s="5">
        <v>0.91666666666666663</v>
      </c>
      <c r="F40" s="1" t="s">
        <v>31</v>
      </c>
      <c r="G40" s="6">
        <f t="shared" si="3"/>
        <v>1.9999999998835847</v>
      </c>
      <c r="H40" s="1">
        <f t="shared" si="4"/>
        <v>33.749999999825377</v>
      </c>
      <c r="I40" s="1">
        <f t="shared" si="5"/>
        <v>1.9999999998835847</v>
      </c>
    </row>
    <row r="41" spans="1:9" x14ac:dyDescent="0.2">
      <c r="A41" s="1">
        <v>8</v>
      </c>
      <c r="B41" s="4">
        <v>44816</v>
      </c>
      <c r="C41" s="5">
        <v>0.58333333333333337</v>
      </c>
      <c r="D41" s="4">
        <v>44816</v>
      </c>
      <c r="E41" s="5">
        <v>0.625</v>
      </c>
      <c r="F41" s="1" t="s">
        <v>31</v>
      </c>
      <c r="G41" s="6">
        <f t="shared" si="3"/>
        <v>0.99999999994179234</v>
      </c>
      <c r="H41" s="1">
        <f t="shared" si="4"/>
        <v>34.749999999767169</v>
      </c>
      <c r="I41" s="1">
        <f t="shared" si="5"/>
        <v>0.99999999994179234</v>
      </c>
    </row>
    <row r="42" spans="1:9" x14ac:dyDescent="0.2">
      <c r="A42" s="1">
        <v>8</v>
      </c>
      <c r="B42" s="4">
        <v>44816</v>
      </c>
      <c r="C42" s="5">
        <v>0.625</v>
      </c>
      <c r="D42" s="4">
        <v>44816</v>
      </c>
      <c r="E42" s="5">
        <v>0.64583333333333337</v>
      </c>
      <c r="F42" s="1" t="s">
        <v>32</v>
      </c>
      <c r="G42" s="6">
        <f t="shared" si="3"/>
        <v>0.50000000005820766</v>
      </c>
      <c r="H42" s="1">
        <f t="shared" si="4"/>
        <v>35.249999999825377</v>
      </c>
      <c r="I42" s="1">
        <f t="shared" si="5"/>
        <v>0.50000000005820766</v>
      </c>
    </row>
    <row r="43" spans="1:9" x14ac:dyDescent="0.2">
      <c r="A43" s="1">
        <v>8</v>
      </c>
      <c r="B43" s="4">
        <v>44816</v>
      </c>
      <c r="C43" s="5">
        <v>0.8125</v>
      </c>
      <c r="D43" s="4">
        <v>44816</v>
      </c>
      <c r="E43" s="5">
        <v>0.83333333333333337</v>
      </c>
      <c r="F43" s="1" t="s">
        <v>33</v>
      </c>
      <c r="G43" s="6">
        <f t="shared" si="3"/>
        <v>0.50000000005820766</v>
      </c>
      <c r="H43" s="1">
        <f t="shared" si="4"/>
        <v>35.749999999883585</v>
      </c>
      <c r="I43" s="1">
        <f t="shared" si="5"/>
        <v>0.50000000005820766</v>
      </c>
    </row>
    <row r="44" spans="1:9" x14ac:dyDescent="0.2">
      <c r="A44" s="1">
        <v>8</v>
      </c>
      <c r="B44" s="4">
        <v>44818</v>
      </c>
      <c r="C44" s="5">
        <v>0.375</v>
      </c>
      <c r="D44" s="4">
        <v>44818</v>
      </c>
      <c r="E44" s="5">
        <v>0.39583333333333331</v>
      </c>
      <c r="F44" s="1" t="s">
        <v>30</v>
      </c>
      <c r="G44" s="6">
        <f t="shared" si="3"/>
        <v>0.50000000005820766</v>
      </c>
      <c r="H44" s="1">
        <f t="shared" si="4"/>
        <v>36.249999999941792</v>
      </c>
      <c r="I44" s="1">
        <f t="shared" si="5"/>
        <v>0.50000000005820766</v>
      </c>
    </row>
    <row r="45" spans="1:9" x14ac:dyDescent="0.2">
      <c r="A45" s="1">
        <v>8</v>
      </c>
      <c r="B45" s="4">
        <v>44819</v>
      </c>
      <c r="C45" s="5">
        <v>0.45833333333333331</v>
      </c>
      <c r="D45" s="4">
        <v>44819</v>
      </c>
      <c r="E45" s="5">
        <v>0.48958333333333331</v>
      </c>
      <c r="F45" s="1" t="s">
        <v>9</v>
      </c>
      <c r="G45" s="6">
        <f t="shared" si="3"/>
        <v>0.75</v>
      </c>
      <c r="H45" s="1">
        <f t="shared" si="4"/>
        <v>36.999999999941792</v>
      </c>
      <c r="I45" s="1">
        <f t="shared" si="5"/>
        <v>0.75</v>
      </c>
    </row>
    <row r="46" spans="1:9" x14ac:dyDescent="0.2">
      <c r="A46" s="1">
        <v>8</v>
      </c>
      <c r="B46" s="4">
        <v>44819</v>
      </c>
      <c r="C46" s="5">
        <v>0.5</v>
      </c>
      <c r="D46" s="4">
        <v>44819</v>
      </c>
      <c r="E46" s="5">
        <v>0.52083333333333337</v>
      </c>
      <c r="F46" s="1" t="s">
        <v>34</v>
      </c>
      <c r="G46" s="6">
        <f t="shared" si="3"/>
        <v>0.50000000005820766</v>
      </c>
      <c r="H46" s="1">
        <f t="shared" si="4"/>
        <v>37.5</v>
      </c>
      <c r="I46" s="1">
        <f t="shared" si="5"/>
        <v>0.50000000005820766</v>
      </c>
    </row>
    <row r="47" spans="1:9" x14ac:dyDescent="0.2">
      <c r="A47" s="1">
        <v>8</v>
      </c>
      <c r="B47" s="4">
        <v>44819</v>
      </c>
      <c r="C47" s="5">
        <v>0.54166666666666663</v>
      </c>
      <c r="D47" s="4">
        <v>44819</v>
      </c>
      <c r="E47" s="5">
        <v>0.5625</v>
      </c>
      <c r="F47" s="1" t="s">
        <v>35</v>
      </c>
      <c r="G47" s="6">
        <f t="shared" si="3"/>
        <v>0.50000000005820766</v>
      </c>
      <c r="H47" s="1">
        <f t="shared" si="4"/>
        <v>38.000000000058208</v>
      </c>
      <c r="I47" s="1">
        <f t="shared" si="5"/>
        <v>0.50000000005820766</v>
      </c>
    </row>
    <row r="48" spans="1:9" x14ac:dyDescent="0.2">
      <c r="A48" s="1">
        <v>9</v>
      </c>
      <c r="B48" s="4">
        <v>44824</v>
      </c>
      <c r="C48" s="5">
        <v>0.16666666666666666</v>
      </c>
      <c r="D48" s="4">
        <v>44824</v>
      </c>
      <c r="E48" s="5">
        <v>0.25</v>
      </c>
      <c r="F48" s="1" t="s">
        <v>36</v>
      </c>
      <c r="G48" s="6">
        <f t="shared" si="3"/>
        <v>2.0000000000582077</v>
      </c>
      <c r="H48" s="1">
        <f t="shared" si="4"/>
        <v>40.000000000116415</v>
      </c>
      <c r="I48" s="1">
        <f>((D48+E48)-(B48+C48))*24</f>
        <v>2.0000000000582077</v>
      </c>
    </row>
    <row r="49" spans="1:9" x14ac:dyDescent="0.2">
      <c r="A49" s="1">
        <v>9</v>
      </c>
      <c r="B49" s="4">
        <v>44824</v>
      </c>
      <c r="C49" s="5">
        <v>0.375</v>
      </c>
      <c r="D49" s="4">
        <v>44824</v>
      </c>
      <c r="E49" s="5">
        <v>0.47916666666666669</v>
      </c>
      <c r="F49" s="1" t="s">
        <v>37</v>
      </c>
      <c r="G49" s="6">
        <f t="shared" si="3"/>
        <v>2.4999999999417923</v>
      </c>
      <c r="H49" s="1">
        <f t="shared" si="4"/>
        <v>42.500000000058208</v>
      </c>
      <c r="I49" s="1">
        <f>((D49+E49)-(B49+C49))*24</f>
        <v>2.4999999999417923</v>
      </c>
    </row>
    <row r="50" spans="1:9" x14ac:dyDescent="0.2">
      <c r="A50" s="1">
        <v>9</v>
      </c>
      <c r="B50" s="4">
        <v>44825</v>
      </c>
      <c r="C50" s="5">
        <v>0.58333333333333337</v>
      </c>
      <c r="D50" s="4">
        <v>44825</v>
      </c>
      <c r="E50" s="5">
        <v>0.65625</v>
      </c>
      <c r="F50" s="1" t="s">
        <v>39</v>
      </c>
      <c r="G50" s="6">
        <f t="shared" si="3"/>
        <v>1.7499999999417923</v>
      </c>
      <c r="H50" s="1">
        <f t="shared" si="4"/>
        <v>44.25</v>
      </c>
      <c r="I50" s="1">
        <f t="shared" si="5"/>
        <v>1.7499999999417923</v>
      </c>
    </row>
    <row r="51" spans="1:9" x14ac:dyDescent="0.2">
      <c r="A51" s="1">
        <v>9</v>
      </c>
      <c r="B51" s="4">
        <v>44826</v>
      </c>
      <c r="C51" s="5">
        <v>0.3125</v>
      </c>
      <c r="D51" s="4">
        <v>44826</v>
      </c>
      <c r="E51" s="5">
        <v>0.39583333333333331</v>
      </c>
      <c r="F51" s="1" t="s">
        <v>38</v>
      </c>
      <c r="G51" s="6">
        <f t="shared" si="3"/>
        <v>2.0000000000582077</v>
      </c>
      <c r="H51" s="1">
        <f t="shared" si="4"/>
        <v>46.250000000058208</v>
      </c>
      <c r="I51" s="1">
        <f t="shared" si="5"/>
        <v>2.0000000000582077</v>
      </c>
    </row>
    <row r="52" spans="1:9" x14ac:dyDescent="0.2">
      <c r="A52" s="1">
        <v>9</v>
      </c>
      <c r="B52" s="4">
        <v>44826</v>
      </c>
      <c r="C52" s="5">
        <v>0.39583333333333331</v>
      </c>
      <c r="D52" s="4">
        <v>44826</v>
      </c>
      <c r="E52" s="5">
        <v>0.42708333333333331</v>
      </c>
      <c r="F52" s="1" t="s">
        <v>40</v>
      </c>
      <c r="G52" s="6">
        <f t="shared" si="3"/>
        <v>0.75</v>
      </c>
      <c r="H52" s="1">
        <f t="shared" si="4"/>
        <v>47.000000000058208</v>
      </c>
      <c r="I52" s="1">
        <f t="shared" si="5"/>
        <v>0.75</v>
      </c>
    </row>
    <row r="53" spans="1:9" x14ac:dyDescent="0.2">
      <c r="A53" s="1">
        <v>9</v>
      </c>
      <c r="B53" s="4">
        <v>44826</v>
      </c>
      <c r="C53" s="5">
        <v>0.45833333333333331</v>
      </c>
      <c r="D53" s="4">
        <v>44826</v>
      </c>
      <c r="E53" s="5">
        <v>0.48958333333333331</v>
      </c>
      <c r="F53" s="1" t="s">
        <v>9</v>
      </c>
      <c r="G53" s="6">
        <f t="shared" si="3"/>
        <v>0.75</v>
      </c>
      <c r="H53" s="1">
        <f t="shared" si="4"/>
        <v>47.750000000058208</v>
      </c>
      <c r="I53" s="1">
        <f t="shared" si="5"/>
        <v>0.75</v>
      </c>
    </row>
    <row r="54" spans="1:9" x14ac:dyDescent="0.2">
      <c r="A54" s="1">
        <v>9</v>
      </c>
      <c r="B54" s="4">
        <v>44826</v>
      </c>
      <c r="C54" s="5">
        <v>0.54166666666666663</v>
      </c>
      <c r="D54" s="4">
        <v>44826</v>
      </c>
      <c r="E54" s="5">
        <v>0.5625</v>
      </c>
      <c r="F54" s="1" t="s">
        <v>12</v>
      </c>
      <c r="G54" s="6">
        <f t="shared" si="3"/>
        <v>0.50000000005820766</v>
      </c>
      <c r="H54" s="1">
        <f t="shared" si="4"/>
        <v>48.250000000116415</v>
      </c>
      <c r="I54" s="1">
        <f t="shared" si="5"/>
        <v>0.50000000005820766</v>
      </c>
    </row>
    <row r="55" spans="1:9" x14ac:dyDescent="0.2">
      <c r="A55" s="1">
        <v>9</v>
      </c>
      <c r="B55" s="4">
        <v>44827</v>
      </c>
      <c r="C55" s="5">
        <v>0.33333333333333331</v>
      </c>
      <c r="D55" s="4">
        <v>44827</v>
      </c>
      <c r="E55" s="5">
        <v>0.36458333333333331</v>
      </c>
      <c r="F55" s="1" t="s">
        <v>41</v>
      </c>
      <c r="G55" s="6">
        <f t="shared" si="3"/>
        <v>0.75</v>
      </c>
      <c r="H55" s="1">
        <f t="shared" si="4"/>
        <v>49.000000000116415</v>
      </c>
      <c r="I55" s="1">
        <f t="shared" si="5"/>
        <v>0.75</v>
      </c>
    </row>
    <row r="56" spans="1:9" x14ac:dyDescent="0.2">
      <c r="A56" s="1">
        <v>9</v>
      </c>
      <c r="B56" s="4">
        <v>44828</v>
      </c>
      <c r="C56" s="5">
        <v>0.375</v>
      </c>
      <c r="D56" s="4">
        <v>44828</v>
      </c>
      <c r="E56" s="5">
        <v>0.40625</v>
      </c>
      <c r="F56" s="1" t="s">
        <v>28</v>
      </c>
      <c r="G56" s="6">
        <f t="shared" si="3"/>
        <v>0.75</v>
      </c>
      <c r="H56" s="1">
        <f t="shared" si="4"/>
        <v>49.750000000116415</v>
      </c>
      <c r="I56" s="1">
        <f t="shared" si="5"/>
        <v>0.75</v>
      </c>
    </row>
    <row r="57" spans="1:9" x14ac:dyDescent="0.2">
      <c r="A57" s="1">
        <v>9</v>
      </c>
      <c r="B57" s="4">
        <v>44828</v>
      </c>
      <c r="C57" s="5">
        <v>0.45833333333333331</v>
      </c>
      <c r="D57" s="4">
        <v>44828</v>
      </c>
      <c r="E57" s="5">
        <v>0.48958333333333331</v>
      </c>
      <c r="F57" s="1" t="s">
        <v>27</v>
      </c>
      <c r="G57" s="6">
        <f t="shared" si="3"/>
        <v>0.75</v>
      </c>
      <c r="H57" s="1">
        <f t="shared" si="4"/>
        <v>50.500000000116415</v>
      </c>
      <c r="I57" s="1">
        <f t="shared" si="5"/>
        <v>0.75</v>
      </c>
    </row>
    <row r="58" spans="1:9" x14ac:dyDescent="0.2">
      <c r="A58" s="1">
        <v>9</v>
      </c>
      <c r="B58" s="4">
        <v>44828</v>
      </c>
      <c r="C58" s="5">
        <v>0.53125</v>
      </c>
      <c r="D58" s="4">
        <v>44828</v>
      </c>
      <c r="E58" s="5">
        <v>0.5625</v>
      </c>
      <c r="F58" s="1" t="s">
        <v>42</v>
      </c>
      <c r="G58" s="6">
        <f t="shared" si="3"/>
        <v>0.75</v>
      </c>
      <c r="H58" s="1">
        <f t="shared" si="4"/>
        <v>51.250000000116415</v>
      </c>
      <c r="I58" s="1">
        <f t="shared" si="5"/>
        <v>0.75</v>
      </c>
    </row>
    <row r="59" spans="1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5"/>
        <v>0</v>
      </c>
    </row>
    <row r="60" spans="1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5"/>
        <v>0</v>
      </c>
    </row>
    <row r="61" spans="1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5"/>
        <v>0</v>
      </c>
    </row>
    <row r="62" spans="1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5"/>
        <v>0</v>
      </c>
    </row>
    <row r="63" spans="1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5"/>
        <v>0</v>
      </c>
    </row>
    <row r="64" spans="1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5"/>
        <v>0</v>
      </c>
    </row>
    <row r="65" spans="1:9" ht="15" x14ac:dyDescent="0.2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5"/>
        <v>#VALUE!</v>
      </c>
    </row>
    <row r="66" spans="1:9" ht="15" x14ac:dyDescent="0.2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5"/>
        <v>#VALUE!</v>
      </c>
    </row>
    <row r="67" spans="1:9" x14ac:dyDescent="0.2">
      <c r="G67" s="6" t="str">
        <f t="shared" ref="G67:G98" si="6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5"/>
        <v>0</v>
      </c>
    </row>
    <row r="68" spans="1:9" x14ac:dyDescent="0.2">
      <c r="G68" s="6" t="str">
        <f t="shared" si="6"/>
        <v xml:space="preserve"> </v>
      </c>
      <c r="H68" s="1" t="str">
        <f t="shared" ref="H68:H98" si="7">IF(AND(G68&lt;&gt;" ",G68&lt;&gt;"ERROR",H67&lt;&gt;" ", H67&lt;&gt;"ERROR"),G68+H67," ")</f>
        <v xml:space="preserve"> </v>
      </c>
      <c r="I68" s="1">
        <f t="shared" si="5"/>
        <v>0</v>
      </c>
    </row>
    <row r="69" spans="1:9" x14ac:dyDescent="0.2">
      <c r="G69" s="6" t="str">
        <f t="shared" si="6"/>
        <v xml:space="preserve"> </v>
      </c>
      <c r="H69" s="1" t="str">
        <f t="shared" si="7"/>
        <v xml:space="preserve"> </v>
      </c>
      <c r="I69" s="1">
        <f t="shared" ref="I69:I132" si="8">((D69+E69)-(B69+C69))*24</f>
        <v>0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8"/>
        <v>#VALUE!</v>
      </c>
    </row>
    <row r="100" spans="1:9" ht="15" x14ac:dyDescent="0.2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75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75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2026-09-25T05:29:45Z</dcterms:modified>
</cp:coreProperties>
</file>