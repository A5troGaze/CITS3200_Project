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14200" windowHeight="1366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<sst xmlns="http://schemas.openxmlformats.org/spreadsheetml/2006/main" count="85" uniqueCount="40">
  <si>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</si>
  <si>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</si>
  <si>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</si>
  <si>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</si>
  <si>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</si>
  <si>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</si>
  <si>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</si>
  <si>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</si>
  <si>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</si>
  <si>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</si>
  <si>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</si>
  <si>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</si>
  <si>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</si>
  <si>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</si>
  <si>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</si>
  <si>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</si>
  <si>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</si>
  <si>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</si>
  <si>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</si>
  <si>
    <t>First Audit Meeting</t>
  </si>
  <si>
    <t>First Mentor Meeting</t>
  </si>
  <si>
    <t>Set up MuJoCo, debug interactive viewer crashing on macOS (tested multiple mujoco versions and a clean venv to isolate the cause)</t>
  </si>
  <si>
    <r>
      <rPr>
        <sz val="10"/>
        <rFont val="Verdana"/>
        <charset val="134"/>
      </rPr>
      <t>Built offscreen-rendering workaround (g1_wave_demo.py) to prove data.ctrl → physics → render loop works, verified via output video</t>
    </r>
  </si>
  <si>
    <r>
      <rPr>
        <sz val="10"/>
        <rFont val="Verdana"/>
        <charset val="134"/>
      </rPr>
      <t>Created Simulation branch, committed and pushed MuJoCo demo scripts, updated team</t>
    </r>
  </si>
  <si>
    <t>Write the story for Spirit 3 that needs to be submitted at the end of Spirit 2</t>
  </si>
  <si>
    <t>Researched G1 hand model options across mujoco_menagerie and unitree_ros, identified 5-finger BrainCo hand model for teammate's question</t>
  </si>
  <si>
    <r>
      <rPr>
        <sz val="10"/>
        <rFont val="Verdana"/>
        <charset val="134"/>
      </rPr>
      <t>Implemented RealController.set_gesture(), SimController.stop(), removed stale TODO; committed to CycloneDDS-Simulation</t>
    </r>
  </si>
  <si>
    <r>
      <rPr>
        <sz val="10"/>
        <rFont val="Verdana"/>
        <charset val="134"/>
      </rPr>
      <t>Researched G1 camera hardware (confirmed RealSense D435i), built swappable camera-source abstraction; committed to Camera-Source</t>
    </r>
  </si>
  <si>
    <r>
      <rPr>
        <sz val="10"/>
        <rFont val="Verdana"/>
        <charset val="134"/>
      </rPr>
      <t>Drafted Sprint 3 user stories; filled Sprint 2 self-reflection template</t>
    </r>
  </si>
  <si>
    <t>Finalized Sprint 3 user stories doc, resolved git branch/lock issues, pushed to Documentation</t>
  </si>
  <si>
    <t>Planned unitree_rl_gym walking-policy integration; wrote and pushed leg-policy validation script</t>
  </si>
  <si>
    <r>
      <rPr>
        <sz val="10"/>
        <rFont val="Verdana"/>
        <charset val="134"/>
      </rPr>
      <t>Reviewed teammate's failed walking test, diagnosed issue, wrote setup documentation</t>
    </r>
  </si>
  <si>
    <r>
      <t xml:space="preserve">Combined Christo's standing fix with the unitree_rl_gym leg-walking RL policy into a 3-phase script (ease to home pose </t>
    </r>
    <r>
      <rPr>
        <sz val="10"/>
        <rFont val="宋体-简"/>
        <charset val="134"/>
      </rPr>
      <t>→</t>
    </r>
    <r>
      <rPr>
        <sz val="10"/>
        <rFont val="Verdana"/>
        <charset val="134"/>
      </rPr>
      <t xml:space="preserve"> hold 2s to settle </t>
    </r>
    <r>
      <rPr>
        <sz val="10"/>
        <rFont val="宋体-简"/>
        <charset val="134"/>
      </rPr>
      <t>→</t>
    </r>
    <r>
      <rPr>
        <sz val="10"/>
        <rFont val="Verdana"/>
        <charset val="134"/>
      </rPr>
      <t xml:space="preserve"> hand legs to the walking policy with cmd ramping up from 0), pushed to Walking-Policy-Test for him to test.</t>
    </r>
  </si>
  <si>
    <t>Investigated the unitree_rl_lab repo Christo found, cloned it, wrote and sent him rl_lab_walking_test.py plus its SETUP doc, and asked him to help test it.</t>
  </si>
  <si>
    <t>Read both repos' READMEs, compared unitree_rl_gym vs unitree_rl_lab (framework, joint scope, deploy method), then tried building g1_ctrl on your Mac — apt install failed since macOS has no apt.</t>
  </si>
  <si>
    <t>Pulled Christo's working walking balance fix and gesture_to_vgamepad.py, then wired that gesture-to-gamepad logic into gesture_control.py as a new 'walk' backend and pushed it,</t>
  </si>
  <si>
    <t>Second Mentor Meeting</t>
  </si>
  <si>
    <t>Implemented the button-style turn fix (full stick deflection, ±1.0) and prepared to push it.</t>
  </si>
  <si>
    <t>Second Audit Meeting</t>
  </si>
  <si>
    <t>Analyzed Christo's test video and diagnosed that turning triggers a wobble-then-recover instead of an actual turn, likely because the policy is unstable at pure in-place rotation, and suggested testing turn + slight forward velocity next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</si>
</sst>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5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  <font>
      <sz val="10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Font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70" zoomScaleNormal="70" workbookViewId="0">
      <selection activeCell="A50" sqref="A50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13.359375" style="1" customWidth="1"/>
    <col min="6" max="6" width="69.2578125" style="1" customWidth="1"/>
    <col min="7" max="7" width="9.3359375" style="1" customWidth="1"/>
    <col min="8" max="8" width="12.687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 t="shared" ref="G4:G16" si="0">IF(I4&gt;0,I4,IF(I4=0," ","ERROR"))</f>
        <v>0.999999999941792</v>
      </c>
      <c r="H4" s="1">
        <f>IF(G4&lt;&gt;"ERROR",G4)</f>
        <v>0.999999999941792</v>
      </c>
      <c r="I4" s="1">
        <f t="shared" ref="I4:I16" si="1"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 t="shared" si="0"/>
        <v>1.99999999988358</v>
      </c>
      <c r="H5" s="1">
        <f t="shared" ref="H5:H17" si="2">IF(AND(G5&lt;&gt;" ",G5&lt;&gt;"ERROR",H4&lt;&gt;" ",H4&lt;&gt;"ERROR"),G5+H4," ")</f>
        <v>2.99999999982538</v>
      </c>
      <c r="I5" s="1">
        <f t="shared" si="1"/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 t="shared" si="0"/>
        <v>0.999999999941792</v>
      </c>
      <c r="H6" s="1">
        <f t="shared" si="2"/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19">
        <f t="shared" si="0"/>
        <v>2.00000000005821</v>
      </c>
      <c r="H11" s="1">
        <f t="shared" si="2"/>
        <v>11.4999999997672</v>
      </c>
      <c r="I11" s="1">
        <f t="shared" si="1"/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19">
        <f t="shared" si="0"/>
        <v>0.999999999941792</v>
      </c>
      <c r="H12" s="1">
        <f t="shared" si="2"/>
        <v>12.499999999709</v>
      </c>
      <c r="I12" s="1">
        <f t="shared" si="1"/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19">
        <f t="shared" si="0"/>
        <v>0.500000000058208</v>
      </c>
      <c r="H13" s="1">
        <f t="shared" si="2"/>
        <v>12.9999999997672</v>
      </c>
      <c r="I13" s="1">
        <f t="shared" si="1"/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19">
        <f t="shared" si="0"/>
        <v>1.5</v>
      </c>
      <c r="H14" s="1">
        <f t="shared" si="2"/>
        <v>14.4999999997672</v>
      </c>
      <c r="I14" s="1">
        <f t="shared" si="1"/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19">
        <f t="shared" si="0"/>
        <v>2.43333333340706</v>
      </c>
      <c r="H15" s="1">
        <f t="shared" si="2"/>
        <v>16.9333333331742</v>
      </c>
      <c r="I15" s="1">
        <f t="shared" si="1"/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19">
        <f t="shared" si="0"/>
        <v>3.73333333345363</v>
      </c>
      <c r="H16" s="1">
        <f t="shared" si="2"/>
        <v>20.6666666666279</v>
      </c>
      <c r="I16" s="1">
        <f t="shared" si="1"/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19">
        <f t="shared" ref="G17:G30" si="3">IF(I17&gt;0,I17,IF(I17=0," ","ERROR"))</f>
        <v>0.999999999941792</v>
      </c>
      <c r="H17" s="1">
        <f t="shared" si="2"/>
        <v>21.6666666665697</v>
      </c>
      <c r="I17" s="1">
        <f t="shared" ref="I17:I68" si="4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19">
        <f t="shared" si="3"/>
        <v>1.63333333324408</v>
      </c>
      <c r="H18" s="1">
        <f t="shared" ref="H17:H30" si="5">IF(AND(G18&lt;&gt;" ",G18&lt;&gt;"ERROR",H17&lt;&gt;" ",H17&lt;&gt;"ERROR"),G18+H17," ")</f>
        <v>23.2999999998138</v>
      </c>
      <c r="I18" s="1">
        <f t="shared" si="4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19">
        <f t="shared" si="3"/>
        <v>1.00000000011642</v>
      </c>
      <c r="H19" s="1">
        <f t="shared" si="5"/>
        <v>24.2999999999302</v>
      </c>
      <c r="I19" s="1">
        <f t="shared" si="4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19">
        <f t="shared" si="3"/>
        <v>0.500000000058208</v>
      </c>
      <c r="H20" s="1">
        <f t="shared" si="5"/>
        <v>24.7999999999884</v>
      </c>
      <c r="I20" s="1">
        <f t="shared" si="4"/>
        <v>0.500000000058208</v>
      </c>
    </row>
    <row r="21" spans="1:9">
      <c r="A21" s="1">
        <v>6</v>
      </c>
      <c r="B21" s="10">
        <v>44798</v>
      </c>
      <c r="C21" s="12">
        <v>0.458333333333333</v>
      </c>
      <c r="D21" s="10">
        <v>44798</v>
      </c>
      <c r="E21" s="12">
        <v>0.5</v>
      </c>
      <c r="F21" s="1" t="s">
        <v>9</v>
      </c>
      <c r="G21" s="19">
        <f t="shared" si="3"/>
        <v>0.999999999941792</v>
      </c>
      <c r="H21" s="1">
        <f t="shared" si="5"/>
        <v>25.7999999999302</v>
      </c>
      <c r="I21" s="1">
        <f t="shared" si="4"/>
        <v>0.999999999941792</v>
      </c>
    </row>
    <row r="22" spans="1:9">
      <c r="A22" s="1">
        <v>6</v>
      </c>
      <c r="B22" s="10">
        <v>44798</v>
      </c>
      <c r="C22" s="12">
        <v>0.5</v>
      </c>
      <c r="D22" s="10">
        <v>44798</v>
      </c>
      <c r="E22" s="20">
        <v>0.541666666666667</v>
      </c>
      <c r="F22" s="1" t="s">
        <v>19</v>
      </c>
      <c r="G22" s="19">
        <f t="shared" si="3"/>
        <v>0.999999999941792</v>
      </c>
      <c r="H22" s="1">
        <f t="shared" si="5"/>
        <v>26.799999999872</v>
      </c>
      <c r="I22" s="1">
        <f t="shared" si="4"/>
        <v>0.999999999941792</v>
      </c>
    </row>
    <row r="23" spans="1:9">
      <c r="A23" s="1">
        <v>6</v>
      </c>
      <c r="B23" s="10">
        <v>44800</v>
      </c>
      <c r="C23" s="12">
        <v>0.652777777777778</v>
      </c>
      <c r="D23" s="10">
        <v>44800</v>
      </c>
      <c r="E23" s="12">
        <v>0.666666666666667</v>
      </c>
      <c r="F23" s="1" t="s">
        <v>20</v>
      </c>
      <c r="G23" s="19">
        <f t="shared" si="3"/>
        <v>0.333333333197515</v>
      </c>
      <c r="H23" s="1">
        <f t="shared" si="5"/>
        <v>27.1333333330695</v>
      </c>
      <c r="I23" s="1">
        <f t="shared" si="4"/>
        <v>0.333333333197515</v>
      </c>
    </row>
    <row r="24" spans="1:9">
      <c r="A24" s="1">
        <v>7</v>
      </c>
      <c r="B24" s="10">
        <v>44806</v>
      </c>
      <c r="C24" s="12">
        <v>0.583333333333333</v>
      </c>
      <c r="D24" s="10">
        <v>44806</v>
      </c>
      <c r="E24" s="12">
        <v>0.666666666666667</v>
      </c>
      <c r="F24" t="s">
        <v>21</v>
      </c>
      <c r="G24" s="19">
        <f t="shared" si="3"/>
        <v>1.99999999988358</v>
      </c>
      <c r="H24" s="1">
        <f t="shared" si="5"/>
        <v>29.1333333329531</v>
      </c>
      <c r="I24" s="1">
        <f t="shared" si="4"/>
        <v>1.99999999988358</v>
      </c>
    </row>
    <row r="25" ht="16" spans="1:9">
      <c r="A25" s="1">
        <v>7</v>
      </c>
      <c r="B25" s="10">
        <v>44806</v>
      </c>
      <c r="C25" s="12">
        <v>0.666666666666667</v>
      </c>
      <c r="D25" s="10">
        <v>44806</v>
      </c>
      <c r="E25" s="12">
        <v>0.729166666666667</v>
      </c>
      <c r="F25" t="s">
        <v>22</v>
      </c>
      <c r="G25" s="19">
        <f t="shared" si="3"/>
        <v>1.5</v>
      </c>
      <c r="H25" s="1">
        <f t="shared" si="5"/>
        <v>30.6333333329531</v>
      </c>
      <c r="I25" s="1">
        <f t="shared" si="4"/>
        <v>1.5</v>
      </c>
    </row>
    <row r="26" ht="16" spans="1:9">
      <c r="A26" s="1">
        <v>7</v>
      </c>
      <c r="B26" s="10">
        <v>44806</v>
      </c>
      <c r="C26" s="12">
        <v>0.729166666666667</v>
      </c>
      <c r="D26" s="10">
        <v>44806</v>
      </c>
      <c r="E26" s="12">
        <v>0.75</v>
      </c>
      <c r="F26" t="s">
        <v>23</v>
      </c>
      <c r="G26" s="19">
        <f t="shared" si="3"/>
        <v>0.500000000058208</v>
      </c>
      <c r="H26" s="1">
        <f t="shared" si="5"/>
        <v>31.1333333330113</v>
      </c>
      <c r="I26" s="1">
        <f t="shared" si="4"/>
        <v>0.500000000058208</v>
      </c>
    </row>
    <row r="27" spans="1:9">
      <c r="A27" s="1">
        <v>7</v>
      </c>
      <c r="B27" s="10">
        <v>44812</v>
      </c>
      <c r="C27" s="12">
        <v>0.458333333333333</v>
      </c>
      <c r="D27" s="10">
        <v>44812</v>
      </c>
      <c r="E27" s="12">
        <v>0.489583333333333</v>
      </c>
      <c r="F27" s="1" t="s">
        <v>9</v>
      </c>
      <c r="G27" s="19">
        <f t="shared" si="3"/>
        <v>0.75</v>
      </c>
      <c r="H27" s="1">
        <f t="shared" si="5"/>
        <v>31.8833333330113</v>
      </c>
      <c r="I27" s="1">
        <f t="shared" si="4"/>
        <v>0.75</v>
      </c>
    </row>
    <row r="28" spans="1:9">
      <c r="A28" s="1">
        <v>7</v>
      </c>
      <c r="B28" s="10">
        <v>44813</v>
      </c>
      <c r="C28" s="12">
        <v>0.5</v>
      </c>
      <c r="D28" s="10">
        <v>44813</v>
      </c>
      <c r="E28" s="12">
        <v>0.541666666666667</v>
      </c>
      <c r="F28" s="1" t="s">
        <v>24</v>
      </c>
      <c r="G28" s="19">
        <f t="shared" si="3"/>
        <v>0.999999999941792</v>
      </c>
      <c r="H28" s="1">
        <f t="shared" si="5"/>
        <v>32.8833333329531</v>
      </c>
      <c r="I28" s="1">
        <f t="shared" si="4"/>
        <v>0.999999999941792</v>
      </c>
    </row>
    <row r="29" spans="1:9">
      <c r="A29" s="1">
        <v>7</v>
      </c>
      <c r="B29" s="10">
        <v>44813</v>
      </c>
      <c r="C29" s="12">
        <v>0.541666666666667</v>
      </c>
      <c r="D29" s="10">
        <v>44813</v>
      </c>
      <c r="E29" s="12">
        <v>0.614583333333333</v>
      </c>
      <c r="F29" t="s">
        <v>25</v>
      </c>
      <c r="G29" s="19">
        <f t="shared" si="3"/>
        <v>1.75000000011642</v>
      </c>
      <c r="H29" s="1">
        <f t="shared" si="5"/>
        <v>34.6333333330695</v>
      </c>
      <c r="I29" s="1">
        <f t="shared" si="4"/>
        <v>1.75000000011642</v>
      </c>
    </row>
    <row r="30" ht="16" spans="1:9">
      <c r="A30" s="1">
        <v>8</v>
      </c>
      <c r="B30" s="10">
        <v>44817</v>
      </c>
      <c r="C30" s="12">
        <v>0.458333333333333</v>
      </c>
      <c r="D30" s="10">
        <v>44817</v>
      </c>
      <c r="E30" s="12">
        <v>0.541666666666667</v>
      </c>
      <c r="F30" t="s">
        <v>26</v>
      </c>
      <c r="G30" s="19">
        <f t="shared" si="3"/>
        <v>1.99999999988358</v>
      </c>
      <c r="H30" s="1">
        <f t="shared" si="5"/>
        <v>36.6333333329531</v>
      </c>
      <c r="I30" s="1">
        <f t="shared" si="4"/>
        <v>1.99999999988358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s="1" t="e">
        <f t="shared" si="4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1"/>
      <c r="G32" s="21"/>
      <c r="H32" s="21"/>
      <c r="I32" s="1" t="e">
        <f t="shared" si="4"/>
        <v>#VALUE!</v>
      </c>
    </row>
    <row r="33" ht="16" spans="1:9">
      <c r="A33" s="1">
        <v>8</v>
      </c>
      <c r="B33" s="10">
        <v>44817</v>
      </c>
      <c r="C33" s="12">
        <v>0.625</v>
      </c>
      <c r="D33" s="10">
        <v>44817</v>
      </c>
      <c r="E33" s="12">
        <v>0.739583333333333</v>
      </c>
      <c r="F33" t="s">
        <v>27</v>
      </c>
      <c r="G33" s="19">
        <f t="shared" ref="G33:G64" si="6">IF(I33&gt;0,I33,IF(I33=0," ","ERROR"))</f>
        <v>2.75000000005821</v>
      </c>
      <c r="H33" s="1">
        <f>IF(AND(G33&lt;&gt;" ",G33&lt;&gt;"ERROR",H30&lt;&gt;" ",H30&lt;&gt;"ERROR"),G33+H30," ")</f>
        <v>39.3833333330113</v>
      </c>
      <c r="I33" s="1">
        <f t="shared" si="4"/>
        <v>2.75000000005821</v>
      </c>
    </row>
    <row r="34" ht="16" spans="1:9">
      <c r="A34" s="1">
        <v>8</v>
      </c>
      <c r="B34" s="10">
        <v>44818</v>
      </c>
      <c r="C34" s="12">
        <v>0.791666666666667</v>
      </c>
      <c r="D34" s="10">
        <v>44818</v>
      </c>
      <c r="E34" s="12">
        <v>0.875</v>
      </c>
      <c r="F34" t="s">
        <v>28</v>
      </c>
      <c r="G34" s="19">
        <f t="shared" si="6"/>
        <v>2.00000000005821</v>
      </c>
      <c r="H34" s="1">
        <f t="shared" ref="H34:H64" si="7">IF(AND(G34&lt;&gt;" ",G34&lt;&gt;"ERROR",H33&lt;&gt;" ",H33&lt;&gt;"ERROR"),G34+H33," ")</f>
        <v>41.3833333330695</v>
      </c>
      <c r="I34" s="1">
        <f t="shared" si="4"/>
        <v>2.00000000005821</v>
      </c>
    </row>
    <row r="35" spans="1:9">
      <c r="A35" s="1">
        <v>8</v>
      </c>
      <c r="B35" s="10">
        <v>44819</v>
      </c>
      <c r="C35" s="12">
        <v>0.458333333333333</v>
      </c>
      <c r="D35" s="10">
        <v>44819</v>
      </c>
      <c r="E35" s="12">
        <v>0.5</v>
      </c>
      <c r="F35" s="1" t="s">
        <v>9</v>
      </c>
      <c r="G35" s="19">
        <f t="shared" si="6"/>
        <v>0.999999999941792</v>
      </c>
      <c r="H35" s="1">
        <f t="shared" si="7"/>
        <v>42.3833333330113</v>
      </c>
      <c r="I35" s="1">
        <f t="shared" si="4"/>
        <v>0.999999999941792</v>
      </c>
    </row>
    <row r="36" spans="1:9">
      <c r="A36" s="1">
        <v>8</v>
      </c>
      <c r="B36" s="10">
        <v>44819</v>
      </c>
      <c r="C36" s="12">
        <v>0.541666666666667</v>
      </c>
      <c r="D36" s="10">
        <v>44819</v>
      </c>
      <c r="E36" s="12">
        <v>0.5625</v>
      </c>
      <c r="F36" s="1" t="s">
        <v>12</v>
      </c>
      <c r="G36" s="19">
        <f t="shared" si="6"/>
        <v>0.500000000058208</v>
      </c>
      <c r="H36" s="1">
        <f t="shared" si="7"/>
        <v>42.8833333330695</v>
      </c>
      <c r="I36" s="1">
        <f t="shared" si="4"/>
        <v>0.500000000058208</v>
      </c>
    </row>
    <row r="37" spans="1:9">
      <c r="A37" s="1">
        <v>8</v>
      </c>
      <c r="B37" s="10">
        <v>44819</v>
      </c>
      <c r="C37" s="12">
        <v>0.5625</v>
      </c>
      <c r="D37" s="10">
        <v>44819</v>
      </c>
      <c r="E37" s="12">
        <v>0.597222222222222</v>
      </c>
      <c r="F37" s="1" t="s">
        <v>29</v>
      </c>
      <c r="G37" s="19">
        <f t="shared" si="6"/>
        <v>0.833333333255723</v>
      </c>
      <c r="H37" s="1">
        <f t="shared" si="7"/>
        <v>43.7166666663252</v>
      </c>
      <c r="I37" s="1">
        <f t="shared" si="4"/>
        <v>0.833333333255723</v>
      </c>
    </row>
    <row r="38" spans="1:9">
      <c r="A38" s="1">
        <v>8</v>
      </c>
      <c r="B38" s="10">
        <v>44820</v>
      </c>
      <c r="C38" s="12">
        <v>0.416666666666667</v>
      </c>
      <c r="D38" s="10">
        <v>44820</v>
      </c>
      <c r="E38" s="12">
        <v>0.520833333333333</v>
      </c>
      <c r="F38" s="1" t="s">
        <v>30</v>
      </c>
      <c r="G38" s="19">
        <f t="shared" si="6"/>
        <v>2.50000000011642</v>
      </c>
      <c r="H38" s="1">
        <f t="shared" si="7"/>
        <v>46.2166666664416</v>
      </c>
      <c r="I38" s="1">
        <f t="shared" si="4"/>
        <v>2.50000000011642</v>
      </c>
    </row>
    <row r="39" ht="16" spans="1:9">
      <c r="A39" s="1">
        <v>8</v>
      </c>
      <c r="B39" s="10">
        <v>44821</v>
      </c>
      <c r="C39" s="12">
        <v>0.375</v>
      </c>
      <c r="D39" s="10">
        <v>44821</v>
      </c>
      <c r="E39" s="12">
        <v>0.416666666666667</v>
      </c>
      <c r="F39" t="s">
        <v>31</v>
      </c>
      <c r="G39" s="19">
        <f t="shared" si="6"/>
        <v>0.999999999941792</v>
      </c>
      <c r="H39" s="1">
        <f t="shared" si="7"/>
        <v>47.2166666663834</v>
      </c>
      <c r="I39" s="1">
        <f t="shared" si="4"/>
        <v>0.999999999941792</v>
      </c>
    </row>
    <row r="40" ht="16" spans="1:9">
      <c r="A40" s="1">
        <v>9</v>
      </c>
      <c r="B40" s="10">
        <v>44823</v>
      </c>
      <c r="C40" s="12">
        <v>0.666666666666667</v>
      </c>
      <c r="D40" s="10">
        <v>44823</v>
      </c>
      <c r="E40" s="12">
        <v>0.770833333333333</v>
      </c>
      <c r="F40" s="22" t="s">
        <v>32</v>
      </c>
      <c r="G40" s="19">
        <f t="shared" si="6"/>
        <v>2.50000000011642</v>
      </c>
      <c r="H40" s="1">
        <f t="shared" si="7"/>
        <v>49.7166666664998</v>
      </c>
      <c r="I40" s="1">
        <f t="shared" si="4"/>
        <v>2.50000000011642</v>
      </c>
    </row>
    <row r="41" spans="1:9">
      <c r="A41" s="1">
        <v>9</v>
      </c>
      <c r="B41" s="10">
        <v>44824</v>
      </c>
      <c r="C41" s="12">
        <v>0.479166666666667</v>
      </c>
      <c r="D41" s="10">
        <v>44824</v>
      </c>
      <c r="E41" s="12">
        <v>0.5625</v>
      </c>
      <c r="F41" s="1" t="s">
        <v>33</v>
      </c>
      <c r="G41" s="19">
        <f t="shared" si="6"/>
        <v>2.00000000005821</v>
      </c>
      <c r="H41" s="1">
        <f t="shared" si="7"/>
        <v>51.7166666665581</v>
      </c>
      <c r="I41" s="1">
        <f t="shared" si="4"/>
        <v>2.00000000005821</v>
      </c>
    </row>
    <row r="42" spans="1:9">
      <c r="A42" s="1">
        <v>9</v>
      </c>
      <c r="B42" s="10">
        <v>44825</v>
      </c>
      <c r="C42" s="12">
        <v>0.583333333333333</v>
      </c>
      <c r="D42" s="10">
        <v>44825</v>
      </c>
      <c r="E42" s="12">
        <v>0.666666666666667</v>
      </c>
      <c r="F42" t="s">
        <v>34</v>
      </c>
      <c r="G42" s="19">
        <f t="shared" si="6"/>
        <v>1.99999999988358</v>
      </c>
      <c r="H42" s="1">
        <f t="shared" si="7"/>
        <v>53.7166666664416</v>
      </c>
      <c r="I42" s="1">
        <f t="shared" si="4"/>
        <v>1.99999999988358</v>
      </c>
    </row>
    <row r="43" spans="1:9">
      <c r="A43" s="1">
        <v>9</v>
      </c>
      <c r="B43" s="10">
        <v>44826</v>
      </c>
      <c r="C43" s="12">
        <v>0.416666666666667</v>
      </c>
      <c r="D43" s="10">
        <v>44826</v>
      </c>
      <c r="E43" s="12">
        <v>0.458333333333333</v>
      </c>
      <c r="F43" t="s">
        <v>35</v>
      </c>
      <c r="G43" s="19">
        <f t="shared" si="6"/>
        <v>1.00000000011642</v>
      </c>
      <c r="H43" s="1">
        <f t="shared" si="7"/>
        <v>54.7166666665581</v>
      </c>
      <c r="I43" s="1">
        <f t="shared" si="4"/>
        <v>1.00000000011642</v>
      </c>
    </row>
    <row r="44" spans="1:9">
      <c r="A44" s="1">
        <v>9</v>
      </c>
      <c r="B44" s="10">
        <v>44826</v>
      </c>
      <c r="C44" s="12">
        <v>0.458333333333333</v>
      </c>
      <c r="D44" s="10">
        <v>44826</v>
      </c>
      <c r="E44" s="12">
        <v>0.5</v>
      </c>
      <c r="F44" s="1" t="s">
        <v>9</v>
      </c>
      <c r="G44" s="19">
        <f t="shared" si="6"/>
        <v>0.999999999941792</v>
      </c>
      <c r="H44" s="1">
        <f t="shared" si="7"/>
        <v>55.7166666664998</v>
      </c>
      <c r="I44" s="1">
        <f t="shared" si="4"/>
        <v>0.999999999941792</v>
      </c>
    </row>
    <row r="45" spans="1:9">
      <c r="A45" s="1">
        <v>9</v>
      </c>
      <c r="B45" s="10">
        <v>44826</v>
      </c>
      <c r="C45" s="12">
        <v>0.541666666666667</v>
      </c>
      <c r="D45" s="10">
        <v>44826</v>
      </c>
      <c r="E45" s="12">
        <v>0.5625</v>
      </c>
      <c r="F45" s="1" t="s">
        <v>12</v>
      </c>
      <c r="G45" s="19">
        <f t="shared" si="6"/>
        <v>0.500000000058208</v>
      </c>
      <c r="H45" s="1">
        <f t="shared" si="7"/>
        <v>56.2166666665581</v>
      </c>
      <c r="I45" s="1">
        <f t="shared" si="4"/>
        <v>0.500000000058208</v>
      </c>
    </row>
    <row r="46" spans="1:9">
      <c r="A46" s="1">
        <v>9</v>
      </c>
      <c r="B46" s="10">
        <v>44828</v>
      </c>
      <c r="C46" s="12">
        <v>0.375</v>
      </c>
      <c r="D46" s="10">
        <v>44828</v>
      </c>
      <c r="E46" s="12">
        <v>0.416666666666667</v>
      </c>
      <c r="F46" s="1" t="s">
        <v>36</v>
      </c>
      <c r="G46" s="19">
        <f t="shared" si="6"/>
        <v>0.999999999941792</v>
      </c>
      <c r="H46" s="1">
        <f t="shared" si="7"/>
        <v>57.2166666664998</v>
      </c>
      <c r="I46" s="1">
        <f t="shared" si="4"/>
        <v>0.999999999941792</v>
      </c>
    </row>
    <row r="47" spans="1:9">
      <c r="A47" s="1">
        <v>9</v>
      </c>
      <c r="B47" s="10">
        <v>44828</v>
      </c>
      <c r="C47" s="12">
        <v>0.416666666666667</v>
      </c>
      <c r="D47" s="10">
        <v>44828</v>
      </c>
      <c r="E47" s="12">
        <v>0.458333333333333</v>
      </c>
      <c r="F47" s="1" t="s">
        <v>37</v>
      </c>
      <c r="G47" s="19">
        <f t="shared" si="6"/>
        <v>1.00000000011642</v>
      </c>
      <c r="H47" s="1">
        <f t="shared" si="7"/>
        <v>58.2166666666163</v>
      </c>
      <c r="I47" s="1">
        <f t="shared" si="4"/>
        <v>1.00000000011642</v>
      </c>
    </row>
    <row r="48" spans="1:9">
      <c r="A48" s="1">
        <v>9</v>
      </c>
      <c r="B48" s="10">
        <v>44828</v>
      </c>
      <c r="C48" s="12">
        <v>0.458333333333333</v>
      </c>
      <c r="D48" s="10">
        <v>44828</v>
      </c>
      <c r="E48" s="12">
        <v>0.5</v>
      </c>
      <c r="F48" s="1" t="s">
        <v>38</v>
      </c>
      <c r="G48" s="19">
        <f t="shared" si="6"/>
        <v>0.999999999941792</v>
      </c>
      <c r="H48" s="1">
        <f t="shared" si="7"/>
        <v>59.2166666665581</v>
      </c>
      <c r="I48" s="1">
        <f t="shared" si="4"/>
        <v>0.999999999941792</v>
      </c>
    </row>
    <row r="49" spans="1:9">
      <c r="A49" s="1">
        <v>9</v>
      </c>
      <c r="B49" s="10">
        <v>44828</v>
      </c>
      <c r="C49" s="12">
        <v>0.5</v>
      </c>
      <c r="D49" s="10">
        <v>44828</v>
      </c>
      <c r="E49" s="12">
        <v>0.520833333333333</v>
      </c>
      <c r="F49" s="1" t="s">
        <v>39</v>
      </c>
      <c r="G49" s="19">
        <f t="shared" si="6"/>
        <v>0.500000000058208</v>
      </c>
      <c r="H49" s="1">
        <f t="shared" si="7"/>
        <v>59.7166666666163</v>
      </c>
      <c r="I49" s="1">
        <f t="shared" si="4"/>
        <v>0.500000000058208</v>
      </c>
    </row>
    <row r="50" spans="2:9">
      <c r="B50" s="13"/>
      <c r="C50" s="12"/>
      <c r="D50" s="10"/>
      <c r="E50" s="12"/>
      <c r="G50" s="19" t="str">
        <f t="shared" si="6"/>
        <v> </v>
      </c>
      <c r="H50" s="1" t="str">
        <f t="shared" si="7"/>
        <v> </v>
      </c>
      <c r="I50" s="1">
        <f t="shared" si="4"/>
        <v>0</v>
      </c>
    </row>
    <row r="51" spans="2:9">
      <c r="B51" s="13"/>
      <c r="C51" s="12"/>
      <c r="D51" s="13"/>
      <c r="E51" s="12"/>
      <c r="G51" s="19" t="str">
        <f t="shared" si="6"/>
        <v> </v>
      </c>
      <c r="H51" s="1" t="str">
        <f t="shared" si="7"/>
        <v> </v>
      </c>
      <c r="I51" s="1">
        <f t="shared" si="4"/>
        <v>0</v>
      </c>
    </row>
    <row r="52" spans="2:9">
      <c r="B52" s="13"/>
      <c r="C52" s="12"/>
      <c r="D52" s="13"/>
      <c r="E52" s="12"/>
      <c r="G52" s="19" t="str">
        <f t="shared" si="6"/>
        <v> </v>
      </c>
      <c r="H52" s="1" t="str">
        <f t="shared" si="7"/>
        <v> </v>
      </c>
      <c r="I52" s="1">
        <f t="shared" si="4"/>
        <v>0</v>
      </c>
    </row>
    <row r="53" spans="2:9">
      <c r="B53" s="13"/>
      <c r="C53" s="12"/>
      <c r="D53" s="13"/>
      <c r="E53" s="12"/>
      <c r="G53" s="19" t="str">
        <f t="shared" si="6"/>
        <v> </v>
      </c>
      <c r="H53" s="1" t="str">
        <f t="shared" si="7"/>
        <v> </v>
      </c>
      <c r="I53" s="1">
        <f t="shared" si="4"/>
        <v>0</v>
      </c>
    </row>
    <row r="54" spans="2:9">
      <c r="B54" s="13"/>
      <c r="C54" s="12"/>
      <c r="D54" s="13"/>
      <c r="E54" s="12"/>
      <c r="G54" s="19" t="str">
        <f t="shared" si="6"/>
        <v> </v>
      </c>
      <c r="H54" s="1" t="str">
        <f t="shared" si="7"/>
        <v> </v>
      </c>
      <c r="I54" s="1">
        <f t="shared" si="4"/>
        <v>0</v>
      </c>
    </row>
    <row r="55" spans="2:9">
      <c r="B55" s="13"/>
      <c r="C55" s="12"/>
      <c r="D55" s="13"/>
      <c r="E55" s="12"/>
      <c r="G55" s="19" t="str">
        <f t="shared" si="6"/>
        <v> </v>
      </c>
      <c r="H55" s="1" t="str">
        <f t="shared" si="7"/>
        <v> </v>
      </c>
      <c r="I55" s="1">
        <f t="shared" si="4"/>
        <v>0</v>
      </c>
    </row>
    <row r="56" spans="2:9">
      <c r="B56" s="13"/>
      <c r="C56" s="12"/>
      <c r="D56" s="13"/>
      <c r="E56" s="12"/>
      <c r="G56" s="19" t="str">
        <f t="shared" si="6"/>
        <v> </v>
      </c>
      <c r="H56" s="1" t="str">
        <f t="shared" si="7"/>
        <v> </v>
      </c>
      <c r="I56" s="1">
        <f t="shared" si="4"/>
        <v>0</v>
      </c>
    </row>
    <row r="57" spans="2:9">
      <c r="B57" s="13"/>
      <c r="C57" s="12"/>
      <c r="D57" s="13"/>
      <c r="E57" s="12"/>
      <c r="G57" s="19" t="str">
        <f t="shared" si="6"/>
        <v> </v>
      </c>
      <c r="H57" s="1" t="str">
        <f t="shared" si="7"/>
        <v> </v>
      </c>
      <c r="I57" s="1">
        <f t="shared" si="4"/>
        <v>0</v>
      </c>
    </row>
    <row r="58" spans="2:9">
      <c r="B58" s="13"/>
      <c r="C58" s="12"/>
      <c r="D58" s="13"/>
      <c r="E58" s="12"/>
      <c r="G58" s="19" t="str">
        <f t="shared" si="6"/>
        <v> </v>
      </c>
      <c r="H58" s="1" t="str">
        <f t="shared" si="7"/>
        <v> </v>
      </c>
      <c r="I58" s="1">
        <f t="shared" si="4"/>
        <v>0</v>
      </c>
    </row>
    <row r="59" spans="2:9">
      <c r="B59" s="13"/>
      <c r="C59" s="12"/>
      <c r="D59" s="13"/>
      <c r="E59" s="12"/>
      <c r="G59" s="19" t="str">
        <f t="shared" si="6"/>
        <v> </v>
      </c>
      <c r="H59" s="1" t="str">
        <f t="shared" si="7"/>
        <v> </v>
      </c>
      <c r="I59" s="1">
        <f t="shared" si="4"/>
        <v>0</v>
      </c>
    </row>
    <row r="60" spans="2:9">
      <c r="B60" s="13"/>
      <c r="G60" s="19" t="str">
        <f t="shared" si="6"/>
        <v> </v>
      </c>
      <c r="H60" s="1" t="str">
        <f t="shared" si="7"/>
        <v> </v>
      </c>
      <c r="I60" s="1">
        <f t="shared" si="4"/>
        <v>0</v>
      </c>
    </row>
    <row r="61" spans="2:9">
      <c r="B61" s="13"/>
      <c r="G61" s="19" t="str">
        <f t="shared" si="6"/>
        <v> </v>
      </c>
      <c r="H61" s="1" t="str">
        <f t="shared" si="7"/>
        <v> </v>
      </c>
      <c r="I61" s="1">
        <f t="shared" si="4"/>
        <v>0</v>
      </c>
    </row>
    <row r="62" spans="2:9">
      <c r="B62" s="13"/>
      <c r="G62" s="19" t="str">
        <f t="shared" si="6"/>
        <v> </v>
      </c>
      <c r="H62" s="1" t="str">
        <f t="shared" si="7"/>
        <v> </v>
      </c>
      <c r="I62" s="1">
        <f t="shared" si="4"/>
        <v>0</v>
      </c>
    </row>
    <row r="63" spans="2:9">
      <c r="B63" s="13"/>
      <c r="G63" s="19" t="str">
        <f t="shared" si="6"/>
        <v> </v>
      </c>
      <c r="H63" s="1" t="str">
        <f t="shared" si="7"/>
        <v> </v>
      </c>
      <c r="I63" s="1">
        <f t="shared" si="4"/>
        <v>0</v>
      </c>
    </row>
    <row r="64" spans="2:9">
      <c r="B64" s="13"/>
      <c r="G64" s="19" t="str">
        <f t="shared" si="6"/>
        <v> </v>
      </c>
      <c r="H64" s="1" t="str">
        <f t="shared" si="7"/>
        <v> </v>
      </c>
      <c r="I64" s="1">
        <f t="shared" si="4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s="1" t="e">
        <f t="shared" si="4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1"/>
      <c r="G66" s="21"/>
      <c r="H66" s="21"/>
      <c r="I66" s="1" t="e">
        <f t="shared" si="4"/>
        <v>#VALUE!</v>
      </c>
    </row>
    <row r="67" spans="7:9">
      <c r="G67" s="19" t="str">
        <f t="shared" ref="G67:G98" si="8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4"/>
        <v>0</v>
      </c>
    </row>
    <row r="68" spans="7:9">
      <c r="G68" s="19" t="str">
        <f t="shared" si="8"/>
        <v> </v>
      </c>
      <c r="H68" s="1" t="str">
        <f t="shared" ref="H68:H98" si="9">IF(AND(G68&lt;&gt;" ",G68&lt;&gt;"ERROR",H67&lt;&gt;" ",H67&lt;&gt;"ERROR"),G68+H67," ")</f>
        <v> </v>
      </c>
      <c r="I68" s="1">
        <f t="shared" si="4"/>
        <v>0</v>
      </c>
    </row>
    <row r="69" spans="7:9">
      <c r="G69" s="19" t="str">
        <f t="shared" si="8"/>
        <v> </v>
      </c>
      <c r="H69" s="1" t="str">
        <f t="shared" si="9"/>
        <v> </v>
      </c>
      <c r="I69" s="1">
        <f t="shared" ref="I69:I132" si="10">((D69+E69)-(B69+C69))*24</f>
        <v>0</v>
      </c>
    </row>
    <row r="70" spans="7:9">
      <c r="G70" s="19" t="str">
        <f t="shared" si="8"/>
        <v> </v>
      </c>
      <c r="H70" s="1" t="str">
        <f t="shared" si="9"/>
        <v> </v>
      </c>
      <c r="I70" s="1">
        <f t="shared" si="10"/>
        <v>0</v>
      </c>
    </row>
    <row r="71" spans="7:9">
      <c r="G71" s="19" t="str">
        <f t="shared" si="8"/>
        <v> </v>
      </c>
      <c r="H71" s="1" t="str">
        <f t="shared" si="9"/>
        <v> </v>
      </c>
      <c r="I71" s="1">
        <f t="shared" si="10"/>
        <v>0</v>
      </c>
    </row>
    <row r="72" spans="7:9">
      <c r="G72" s="19" t="str">
        <f t="shared" si="8"/>
        <v> </v>
      </c>
      <c r="H72" s="1" t="str">
        <f t="shared" si="9"/>
        <v> </v>
      </c>
      <c r="I72" s="1">
        <f t="shared" si="10"/>
        <v>0</v>
      </c>
    </row>
    <row r="73" spans="7:9">
      <c r="G73" s="19" t="str">
        <f t="shared" si="8"/>
        <v> </v>
      </c>
      <c r="H73" s="1" t="str">
        <f t="shared" si="9"/>
        <v> </v>
      </c>
      <c r="I73" s="1">
        <f t="shared" si="10"/>
        <v>0</v>
      </c>
    </row>
    <row r="74" spans="7:9">
      <c r="G74" s="19" t="str">
        <f t="shared" si="8"/>
        <v> </v>
      </c>
      <c r="H74" s="1" t="str">
        <f t="shared" si="9"/>
        <v> </v>
      </c>
      <c r="I74" s="1">
        <f t="shared" si="10"/>
        <v>0</v>
      </c>
    </row>
    <row r="75" spans="7:9">
      <c r="G75" s="19" t="str">
        <f t="shared" si="8"/>
        <v> </v>
      </c>
      <c r="H75" s="1" t="str">
        <f t="shared" si="9"/>
        <v> </v>
      </c>
      <c r="I75" s="1">
        <f t="shared" si="10"/>
        <v>0</v>
      </c>
    </row>
    <row r="76" spans="7:9">
      <c r="G76" s="19" t="str">
        <f t="shared" si="8"/>
        <v> </v>
      </c>
      <c r="H76" s="1" t="str">
        <f t="shared" si="9"/>
        <v> </v>
      </c>
      <c r="I76" s="1">
        <f t="shared" si="10"/>
        <v>0</v>
      </c>
    </row>
    <row r="77" spans="7:9">
      <c r="G77" s="19" t="str">
        <f t="shared" si="8"/>
        <v> </v>
      </c>
      <c r="H77" s="1" t="str">
        <f t="shared" si="9"/>
        <v> </v>
      </c>
      <c r="I77" s="1">
        <f t="shared" si="10"/>
        <v>0</v>
      </c>
    </row>
    <row r="78" spans="7:9">
      <c r="G78" s="19" t="str">
        <f t="shared" si="8"/>
        <v> </v>
      </c>
      <c r="H78" s="1" t="str">
        <f t="shared" si="9"/>
        <v> </v>
      </c>
      <c r="I78" s="1">
        <f t="shared" si="10"/>
        <v>0</v>
      </c>
    </row>
    <row r="79" spans="7:9">
      <c r="G79" s="19" t="str">
        <f t="shared" si="8"/>
        <v> </v>
      </c>
      <c r="H79" s="1" t="str">
        <f t="shared" si="9"/>
        <v> </v>
      </c>
      <c r="I79" s="1">
        <f t="shared" si="10"/>
        <v>0</v>
      </c>
    </row>
    <row r="80" spans="7:9">
      <c r="G80" s="19" t="str">
        <f t="shared" si="8"/>
        <v> </v>
      </c>
      <c r="H80" s="1" t="str">
        <f t="shared" si="9"/>
        <v> </v>
      </c>
      <c r="I80" s="1">
        <f t="shared" si="10"/>
        <v>0</v>
      </c>
    </row>
    <row r="81" spans="7:9">
      <c r="G81" s="19" t="str">
        <f t="shared" si="8"/>
        <v> </v>
      </c>
      <c r="H81" s="1" t="str">
        <f t="shared" si="9"/>
        <v> </v>
      </c>
      <c r="I81" s="1">
        <f t="shared" si="10"/>
        <v>0</v>
      </c>
    </row>
    <row r="82" spans="7:9">
      <c r="G82" s="19" t="str">
        <f t="shared" si="8"/>
        <v> </v>
      </c>
      <c r="H82" s="1" t="str">
        <f t="shared" si="9"/>
        <v> </v>
      </c>
      <c r="I82" s="1">
        <f t="shared" si="10"/>
        <v>0</v>
      </c>
    </row>
    <row r="83" spans="7:9">
      <c r="G83" s="19" t="str">
        <f t="shared" si="8"/>
        <v> </v>
      </c>
      <c r="H83" s="1" t="str">
        <f t="shared" si="9"/>
        <v> </v>
      </c>
      <c r="I83" s="1">
        <f t="shared" si="10"/>
        <v>0</v>
      </c>
    </row>
    <row r="84" spans="7:9">
      <c r="G84" s="19" t="str">
        <f t="shared" si="8"/>
        <v> </v>
      </c>
      <c r="H84" s="1" t="str">
        <f t="shared" si="9"/>
        <v> </v>
      </c>
      <c r="I84" s="1">
        <f t="shared" si="10"/>
        <v>0</v>
      </c>
    </row>
    <row r="85" spans="7:9">
      <c r="G85" s="19" t="str">
        <f t="shared" si="8"/>
        <v> </v>
      </c>
      <c r="H85" s="1" t="str">
        <f t="shared" si="9"/>
        <v> </v>
      </c>
      <c r="I85" s="1">
        <f t="shared" si="10"/>
        <v>0</v>
      </c>
    </row>
    <row r="86" spans="7:9">
      <c r="G86" s="19" t="str">
        <f t="shared" si="8"/>
        <v> </v>
      </c>
      <c r="H86" s="1" t="str">
        <f t="shared" si="9"/>
        <v> </v>
      </c>
      <c r="I86" s="1">
        <f t="shared" si="10"/>
        <v>0</v>
      </c>
    </row>
    <row r="87" spans="7:9">
      <c r="G87" s="19" t="str">
        <f t="shared" si="8"/>
        <v> </v>
      </c>
      <c r="H87" s="1" t="str">
        <f t="shared" si="9"/>
        <v> </v>
      </c>
      <c r="I87" s="1">
        <f t="shared" si="10"/>
        <v>0</v>
      </c>
    </row>
    <row r="88" spans="7:9">
      <c r="G88" s="19" t="str">
        <f t="shared" si="8"/>
        <v> </v>
      </c>
      <c r="H88" s="1" t="str">
        <f t="shared" si="9"/>
        <v> </v>
      </c>
      <c r="I88" s="1">
        <f t="shared" si="10"/>
        <v>0</v>
      </c>
    </row>
    <row r="89" spans="7:9">
      <c r="G89" s="19" t="str">
        <f t="shared" si="8"/>
        <v> </v>
      </c>
      <c r="H89" s="1" t="str">
        <f t="shared" si="9"/>
        <v> </v>
      </c>
      <c r="I89" s="1">
        <f t="shared" si="10"/>
        <v>0</v>
      </c>
    </row>
    <row r="90" spans="7:9">
      <c r="G90" s="19" t="str">
        <f t="shared" si="8"/>
        <v> </v>
      </c>
      <c r="H90" s="1" t="str">
        <f t="shared" si="9"/>
        <v> </v>
      </c>
      <c r="I90" s="1">
        <f t="shared" si="10"/>
        <v>0</v>
      </c>
    </row>
    <row r="91" spans="7:9">
      <c r="G91" s="19" t="str">
        <f t="shared" si="8"/>
        <v> </v>
      </c>
      <c r="H91" s="1" t="str">
        <f t="shared" si="9"/>
        <v> </v>
      </c>
      <c r="I91" s="1">
        <f t="shared" si="10"/>
        <v>0</v>
      </c>
    </row>
    <row r="92" spans="7:9">
      <c r="G92" s="19" t="str">
        <f t="shared" si="8"/>
        <v> </v>
      </c>
      <c r="H92" s="1" t="str">
        <f t="shared" si="9"/>
        <v> </v>
      </c>
      <c r="I92" s="1">
        <f t="shared" si="10"/>
        <v>0</v>
      </c>
    </row>
    <row r="93" spans="7:9">
      <c r="G93" s="19" t="str">
        <f t="shared" si="8"/>
        <v> </v>
      </c>
      <c r="H93" s="1" t="str">
        <f t="shared" si="9"/>
        <v> </v>
      </c>
      <c r="I93" s="1">
        <f t="shared" si="10"/>
        <v>0</v>
      </c>
    </row>
    <row r="94" spans="7:9">
      <c r="G94" s="19" t="str">
        <f t="shared" si="8"/>
        <v> </v>
      </c>
      <c r="H94" s="1" t="str">
        <f t="shared" si="9"/>
        <v> </v>
      </c>
      <c r="I94" s="1">
        <f t="shared" si="10"/>
        <v>0</v>
      </c>
    </row>
    <row r="95" spans="7:9">
      <c r="G95" s="19" t="str">
        <f t="shared" si="8"/>
        <v> </v>
      </c>
      <c r="H95" s="1" t="str">
        <f t="shared" si="9"/>
        <v> </v>
      </c>
      <c r="I95" s="1">
        <f t="shared" si="10"/>
        <v>0</v>
      </c>
    </row>
    <row r="96" spans="7:9">
      <c r="G96" s="19" t="str">
        <f t="shared" si="8"/>
        <v> </v>
      </c>
      <c r="H96" s="1" t="str">
        <f t="shared" si="9"/>
        <v> </v>
      </c>
      <c r="I96" s="1">
        <f t="shared" si="10"/>
        <v>0</v>
      </c>
    </row>
    <row r="97" spans="7:9">
      <c r="G97" s="19" t="str">
        <f t="shared" si="8"/>
        <v> </v>
      </c>
      <c r="H97" s="1" t="str">
        <f t="shared" si="9"/>
        <v> </v>
      </c>
      <c r="I97" s="1">
        <f t="shared" si="10"/>
        <v>0</v>
      </c>
    </row>
    <row r="98" spans="7:9">
      <c r="G98" s="19" t="str">
        <f t="shared" si="8"/>
        <v> </v>
      </c>
      <c r="H98" s="1" t="str">
        <f t="shared" si="9"/>
        <v> </v>
      </c>
      <c r="I98" s="1">
        <f t="shared" si="10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s="1" t="e">
        <f t="shared" si="10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1"/>
      <c r="G100" s="21"/>
      <c r="H100" s="21"/>
      <c r="I100" s="1" t="e">
        <f t="shared" si="10"/>
        <v>#VALUE!</v>
      </c>
    </row>
    <row r="101" spans="7:9">
      <c r="G101" s="19" t="str">
        <f t="shared" ref="G101:G132" si="11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10"/>
        <v>0</v>
      </c>
    </row>
    <row r="102" spans="7:9">
      <c r="G102" s="19" t="str">
        <f t="shared" si="11"/>
        <v> </v>
      </c>
      <c r="H102" s="1" t="str">
        <f t="shared" ref="H102:H132" si="12">IF(AND(G102&lt;&gt;" ",G102&lt;&gt;"ERROR",H101&lt;&gt;" ",H101&lt;&gt;"ERROR"),G102+H101," ")</f>
        <v> </v>
      </c>
      <c r="I102" s="1">
        <f t="shared" si="10"/>
        <v>0</v>
      </c>
    </row>
    <row r="103" spans="7:9">
      <c r="G103" s="19" t="str">
        <f t="shared" si="11"/>
        <v> </v>
      </c>
      <c r="H103" s="1" t="str">
        <f t="shared" si="12"/>
        <v> </v>
      </c>
      <c r="I103" s="1">
        <f t="shared" si="10"/>
        <v>0</v>
      </c>
    </row>
    <row r="104" spans="7:9">
      <c r="G104" s="19" t="str">
        <f t="shared" si="11"/>
        <v> </v>
      </c>
      <c r="H104" s="1" t="str">
        <f t="shared" si="12"/>
        <v> </v>
      </c>
      <c r="I104" s="1">
        <f t="shared" si="10"/>
        <v>0</v>
      </c>
    </row>
    <row r="105" spans="7:9">
      <c r="G105" s="19" t="str">
        <f t="shared" si="11"/>
        <v> </v>
      </c>
      <c r="H105" s="1" t="str">
        <f t="shared" si="12"/>
        <v> </v>
      </c>
      <c r="I105" s="1">
        <f t="shared" si="10"/>
        <v>0</v>
      </c>
    </row>
    <row r="106" spans="7:9">
      <c r="G106" s="19" t="str">
        <f t="shared" si="11"/>
        <v> </v>
      </c>
      <c r="H106" s="1" t="str">
        <f t="shared" si="12"/>
        <v> </v>
      </c>
      <c r="I106" s="1">
        <f t="shared" si="10"/>
        <v>0</v>
      </c>
    </row>
    <row r="107" spans="7:9">
      <c r="G107" s="19" t="str">
        <f t="shared" si="11"/>
        <v> </v>
      </c>
      <c r="H107" s="1" t="str">
        <f t="shared" si="12"/>
        <v> </v>
      </c>
      <c r="I107" s="1">
        <f t="shared" si="10"/>
        <v>0</v>
      </c>
    </row>
    <row r="108" spans="7:9">
      <c r="G108" s="19" t="str">
        <f t="shared" si="11"/>
        <v> </v>
      </c>
      <c r="H108" s="1" t="str">
        <f t="shared" si="12"/>
        <v> </v>
      </c>
      <c r="I108" s="1">
        <f t="shared" si="10"/>
        <v>0</v>
      </c>
    </row>
    <row r="109" spans="7:9">
      <c r="G109" s="19" t="str">
        <f t="shared" si="11"/>
        <v> </v>
      </c>
      <c r="H109" s="1" t="str">
        <f t="shared" si="12"/>
        <v> </v>
      </c>
      <c r="I109" s="1">
        <f t="shared" si="10"/>
        <v>0</v>
      </c>
    </row>
    <row r="110" spans="7:9">
      <c r="G110" s="19" t="str">
        <f t="shared" si="11"/>
        <v> </v>
      </c>
      <c r="H110" s="1" t="str">
        <f t="shared" si="12"/>
        <v> </v>
      </c>
      <c r="I110" s="1">
        <f t="shared" si="10"/>
        <v>0</v>
      </c>
    </row>
    <row r="111" spans="7:9">
      <c r="G111" s="19" t="str">
        <f t="shared" si="11"/>
        <v> </v>
      </c>
      <c r="H111" s="1" t="str">
        <f t="shared" si="12"/>
        <v> </v>
      </c>
      <c r="I111" s="1">
        <f t="shared" si="10"/>
        <v>0</v>
      </c>
    </row>
    <row r="112" spans="7:9">
      <c r="G112" s="19" t="str">
        <f t="shared" si="11"/>
        <v> </v>
      </c>
      <c r="H112" s="1" t="str">
        <f t="shared" si="12"/>
        <v> </v>
      </c>
      <c r="I112" s="1">
        <f t="shared" si="10"/>
        <v>0</v>
      </c>
    </row>
    <row r="113" spans="7:9">
      <c r="G113" s="19" t="str">
        <f t="shared" si="11"/>
        <v> </v>
      </c>
      <c r="H113" s="1" t="str">
        <f t="shared" si="12"/>
        <v> </v>
      </c>
      <c r="I113" s="1">
        <f t="shared" si="10"/>
        <v>0</v>
      </c>
    </row>
    <row r="114" spans="7:9">
      <c r="G114" s="19" t="str">
        <f t="shared" si="11"/>
        <v> </v>
      </c>
      <c r="H114" s="1" t="str">
        <f t="shared" si="12"/>
        <v> </v>
      </c>
      <c r="I114" s="1">
        <f t="shared" si="10"/>
        <v>0</v>
      </c>
    </row>
    <row r="115" spans="7:9">
      <c r="G115" s="19" t="str">
        <f t="shared" si="11"/>
        <v> </v>
      </c>
      <c r="H115" s="1" t="str">
        <f t="shared" si="12"/>
        <v> </v>
      </c>
      <c r="I115" s="1">
        <f t="shared" si="10"/>
        <v>0</v>
      </c>
    </row>
    <row r="116" spans="7:9">
      <c r="G116" s="19" t="str">
        <f t="shared" si="11"/>
        <v> </v>
      </c>
      <c r="H116" s="1" t="str">
        <f t="shared" si="12"/>
        <v> </v>
      </c>
      <c r="I116" s="1">
        <f t="shared" si="10"/>
        <v>0</v>
      </c>
    </row>
    <row r="117" spans="7:9">
      <c r="G117" s="19" t="str">
        <f t="shared" si="11"/>
        <v> </v>
      </c>
      <c r="H117" s="1" t="str">
        <f t="shared" si="12"/>
        <v> </v>
      </c>
      <c r="I117" s="1">
        <f t="shared" si="10"/>
        <v>0</v>
      </c>
    </row>
    <row r="118" spans="7:9">
      <c r="G118" s="19" t="str">
        <f t="shared" si="11"/>
        <v> </v>
      </c>
      <c r="H118" s="1" t="str">
        <f t="shared" si="12"/>
        <v> </v>
      </c>
      <c r="I118" s="1">
        <f t="shared" si="10"/>
        <v>0</v>
      </c>
    </row>
    <row r="119" spans="7:9">
      <c r="G119" s="19" t="str">
        <f t="shared" si="11"/>
        <v> </v>
      </c>
      <c r="H119" s="1" t="str">
        <f t="shared" si="12"/>
        <v> </v>
      </c>
      <c r="I119" s="1">
        <f t="shared" si="10"/>
        <v>0</v>
      </c>
    </row>
    <row r="120" spans="7:9">
      <c r="G120" s="19" t="str">
        <f t="shared" si="11"/>
        <v> </v>
      </c>
      <c r="H120" s="1" t="str">
        <f t="shared" si="12"/>
        <v> </v>
      </c>
      <c r="I120" s="1">
        <f t="shared" si="10"/>
        <v>0</v>
      </c>
    </row>
    <row r="121" spans="7:9">
      <c r="G121" s="19" t="str">
        <f t="shared" si="11"/>
        <v> </v>
      </c>
      <c r="H121" s="1" t="str">
        <f t="shared" si="12"/>
        <v> </v>
      </c>
      <c r="I121" s="1">
        <f t="shared" si="10"/>
        <v>0</v>
      </c>
    </row>
    <row r="122" spans="7:9">
      <c r="G122" s="19" t="str">
        <f t="shared" si="11"/>
        <v> </v>
      </c>
      <c r="H122" s="1" t="str">
        <f t="shared" si="12"/>
        <v> </v>
      </c>
      <c r="I122" s="1">
        <f t="shared" si="10"/>
        <v>0</v>
      </c>
    </row>
    <row r="123" spans="7:9">
      <c r="G123" s="19" t="str">
        <f t="shared" si="11"/>
        <v> </v>
      </c>
      <c r="H123" s="1" t="str">
        <f t="shared" si="12"/>
        <v> </v>
      </c>
      <c r="I123" s="1">
        <f t="shared" si="10"/>
        <v>0</v>
      </c>
    </row>
    <row r="124" spans="7:9">
      <c r="G124" s="19" t="str">
        <f t="shared" si="11"/>
        <v> </v>
      </c>
      <c r="H124" s="1" t="str">
        <f t="shared" si="12"/>
        <v> </v>
      </c>
      <c r="I124" s="1">
        <f t="shared" si="10"/>
        <v>0</v>
      </c>
    </row>
    <row r="125" spans="7:9">
      <c r="G125" s="19" t="str">
        <f t="shared" si="11"/>
        <v> </v>
      </c>
      <c r="H125" s="1" t="str">
        <f t="shared" si="12"/>
        <v> </v>
      </c>
      <c r="I125" s="1">
        <f t="shared" si="10"/>
        <v>0</v>
      </c>
    </row>
    <row r="126" spans="7:9">
      <c r="G126" s="19" t="str">
        <f t="shared" si="11"/>
        <v> </v>
      </c>
      <c r="H126" s="1" t="str">
        <f t="shared" si="12"/>
        <v> </v>
      </c>
      <c r="I126" s="1">
        <f t="shared" si="10"/>
        <v>0</v>
      </c>
    </row>
    <row r="127" spans="7:9">
      <c r="G127" s="19" t="str">
        <f t="shared" si="11"/>
        <v> </v>
      </c>
      <c r="H127" s="1" t="str">
        <f t="shared" si="12"/>
        <v> </v>
      </c>
      <c r="I127" s="1">
        <f t="shared" si="10"/>
        <v>0</v>
      </c>
    </row>
    <row r="128" spans="7:9">
      <c r="G128" s="19" t="str">
        <f t="shared" si="11"/>
        <v> </v>
      </c>
      <c r="H128" s="1" t="str">
        <f t="shared" si="12"/>
        <v> </v>
      </c>
      <c r="I128" s="1">
        <f t="shared" si="10"/>
        <v>0</v>
      </c>
    </row>
    <row r="129" spans="7:9">
      <c r="G129" s="19" t="str">
        <f t="shared" si="11"/>
        <v> </v>
      </c>
      <c r="H129" s="1" t="str">
        <f t="shared" si="12"/>
        <v> </v>
      </c>
      <c r="I129" s="1">
        <f t="shared" si="10"/>
        <v>0</v>
      </c>
    </row>
    <row r="130" spans="7:9">
      <c r="G130" s="19" t="str">
        <f t="shared" si="11"/>
        <v> </v>
      </c>
      <c r="H130" s="1" t="str">
        <f t="shared" si="12"/>
        <v> </v>
      </c>
      <c r="I130" s="1">
        <f t="shared" si="10"/>
        <v>0</v>
      </c>
    </row>
    <row r="131" spans="7:9">
      <c r="G131" s="19" t="str">
        <f t="shared" si="11"/>
        <v> </v>
      </c>
      <c r="H131" s="1" t="str">
        <f t="shared" si="12"/>
        <v> </v>
      </c>
      <c r="I131" s="1">
        <f t="shared" si="10"/>
        <v>0</v>
      </c>
    </row>
    <row r="132" spans="7:9">
      <c r="G132" s="19" t="str">
        <f t="shared" si="11"/>
        <v> </v>
      </c>
      <c r="H132" s="1" t="str">
        <f t="shared" si="12"/>
        <v> </v>
      </c>
      <c r="I132" s="1">
        <f t="shared" si="10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J1"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2011-01-11T16:44:00Z</dcterms:created>
  <dcterms:modified xsi:type="dcterms:W3CDTF">2026-09-25T23:37:35Z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12C5E81BD3F35B7C808D6C6A80B65F56_43</vt:lpwstr>
  </property>
</Properties>
</file>